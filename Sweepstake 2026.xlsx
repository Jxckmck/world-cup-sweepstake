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06146527adb4a6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🏆 Dashboard" sheetId="1" r:id="R9ccace2c2fa047a6"/>
    <x:sheet xmlns:r="http://schemas.openxmlformats.org/officeDocument/2006/relationships" name="👥 Players" sheetId="2" r:id="R7f316c41aaed453f"/>
    <x:sheet xmlns:r="http://schemas.openxmlformats.org/officeDocument/2006/relationships" name="🌍 Team Tracker" sheetId="3" r:id="R2ba88a72cbc64ad4"/>
    <x:sheet xmlns:r="http://schemas.openxmlformats.org/officeDocument/2006/relationships" name="⚽ Results Entry" sheetId="4" r:id="Rc6b77d2cde154820"/>
    <x:sheet xmlns:r="http://schemas.openxmlformats.org/officeDocument/2006/relationships" name="📅 Fixtures" sheetId="5" r:id="Rbd33bb5d95b14cb9"/>
    <x:sheet xmlns:r="http://schemas.openxmlformats.org/officeDocument/2006/relationships" name="📱 QR Poster" sheetId="6" r:id="Rdfdb734d846c4f84"/>
    <x:sheet xmlns:r="http://schemas.openxmlformats.org/officeDocument/2006/relationships" name="📋 Rules" sheetId="7" r:id="R9f7ca90590ac4dd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/mm/yyyy"/>
  </x:numFmts>
  <x:fonts count="11">
    <x:font>
      <x:sz val="11"/>
      <x:name val="Carlito"/>
    </x:font>
    <x:font>
      <x:b/>
      <x:sz val="18"/>
      <x:color rgb="FFFFFF"/>
      <x:name val="Carlito"/>
    </x:font>
    <x:font>
      <x:b/>
      <x:sz val="11"/>
      <x:color rgb="0B1F33"/>
      <x:name val="Carlito"/>
    </x:font>
    <x:font>
      <x:b/>
      <x:sz val="11"/>
      <x:name val="Carlito"/>
    </x:font>
    <x:font>
      <x:b/>
      <x:sz val="11"/>
      <x:color rgb="FFFFFF"/>
      <x:name val="Carlito"/>
    </x:font>
    <x:font>
      <x:b/>
      <x:sz val="12"/>
      <x:name val="Carlito"/>
    </x:font>
    <x:font>
      <x:b/>
      <x:sz val="22"/>
      <x:color rgb="FFFFFF"/>
      <x:name val="Carlito"/>
    </x:font>
    <x:font>
      <x:b/>
      <x:sz val="14"/>
      <x:name val="Carlito"/>
    </x:font>
    <x:font>
      <x:b/>
      <x:sz val="20"/>
      <x:color rgb="FFFFFF"/>
      <x:name val="Carlito"/>
    </x:font>
    <x:font>
      <x:b/>
      <x:sz val="28"/>
      <x:color rgb="94A3B8"/>
      <x:name val="Carlito"/>
    </x:font>
    <x:font>
      <x:sz val="11"/>
      <x:color rgb="94A3B8"/>
      <x:name val="Carlito"/>
    </x:font>
  </x:fonts>
  <x:fills count="15">
    <x:fill>
      <x:patternFill patternType="none"/>
    </x:fill>
    <x:fill>
      <x:patternFill patternType="gray125"/>
    </x:fill>
    <x:fill>
      <x:patternFill patternType="solid">
        <x:fgColor rgb="102A43"/>
      </x:patternFill>
    </x:fill>
    <x:fill>
      <x:patternFill patternType="solid">
        <x:fgColor rgb="FACC15"/>
      </x:patternFill>
    </x:fill>
    <x:fill>
      <x:patternFill patternType="solid">
        <x:fgColor rgb="FEFCE8"/>
      </x:patternFill>
    </x:fill>
    <x:fill>
      <x:patternFill patternType="solid">
        <x:fgColor rgb="DCFCE7"/>
      </x:patternFill>
    </x:fill>
    <x:fill>
      <x:patternFill patternType="solid">
        <x:fgColor rgb="1D4ED8"/>
      </x:patternFill>
    </x:fill>
    <x:fill>
      <x:patternFill patternType="solid">
        <x:fgColor rgb="7C3AED"/>
      </x:patternFill>
    </x:fill>
    <x:fill>
      <x:patternFill patternType="solid">
        <x:fgColor rgb="DBEAFE"/>
      </x:patternFill>
    </x:fill>
    <x:fill>
      <x:patternFill patternType="solid">
        <x:fgColor rgb="0B1F33"/>
      </x:patternFill>
    </x:fill>
    <x:fill>
      <x:patternFill patternType="solid">
        <x:fgColor rgb="FEF3C7"/>
      </x:patternFill>
    </x:fill>
    <x:fill>
      <x:patternFill patternType="solid">
        <x:fgColor rgb="16A34A"/>
      </x:patternFill>
    </x:fill>
    <x:fill>
      <x:patternFill patternType="solid">
        <x:fgColor rgb="FEF9C3"/>
      </x:patternFill>
    </x:fill>
    <x:fill>
      <x:patternFill patternType="solid">
        <x:fgColor rgb="FFFFFF"/>
      </x:patternFill>
    </x:fill>
    <x:fill>
      <x:patternFill patternType="solid">
        <x:fgColor rgb="334155"/>
      </x:patternFill>
    </x:fill>
  </x:fills>
  <x:borders count="60">
    <x:border/>
    <x:border/>
    <x:border>
      <x:right>
        <x:color rgb="CBD5E1"/>
      </x:right>
      <x:bottom>
        <x:color rgb="CBD5E1"/>
      </x:bottom>
    </x:border>
    <x:border>
      <x:left>
        <x:color rgb="CBD5E1"/>
      </x:left>
      <x:right>
        <x:color rgb="CBD5E1"/>
      </x:right>
      <x:bottom>
        <x:color rgb="CBD5E1"/>
      </x:bottom>
    </x:border>
    <x:border>
      <x:left>
        <x:color rgb="CBD5E1"/>
      </x:left>
      <x:bottom>
        <x:color rgb="CBD5E1"/>
      </x:bottom>
    </x:border>
    <x:border>
      <x:right>
        <x:color rgb="CBD5E1"/>
      </x:right>
      <x:top>
        <x:color rgb="CBD5E1"/>
      </x:top>
      <x:bottom>
        <x:color rgb="CBD5E1"/>
      </x:bottom>
    </x:border>
    <x:border>
      <x:left>
        <x:color rgb="CBD5E1"/>
      </x:left>
      <x:right>
        <x:color rgb="CBD5E1"/>
      </x:right>
      <x:top>
        <x:color rgb="CBD5E1"/>
      </x:top>
      <x:bottom>
        <x:color rgb="CBD5E1"/>
      </x:bottom>
    </x:border>
    <x:border>
      <x:left>
        <x:color rgb="CBD5E1"/>
      </x:left>
      <x:top>
        <x:color rgb="CBD5E1"/>
      </x:top>
      <x:bottom>
        <x:color rgb="CBD5E1"/>
      </x:bottom>
    </x:border>
    <x:border>
      <x:right>
        <x:color rgb="CBD5E1"/>
      </x:right>
      <x:top>
        <x:color rgb="CBD5E1"/>
      </x:top>
      <x:bottom>
        <x:color rgb="64748B"/>
      </x:bottom>
    </x:border>
    <x:border>
      <x:left>
        <x:color rgb="CBD5E1"/>
      </x:left>
      <x:right>
        <x:color rgb="CBD5E1"/>
      </x:right>
      <x:top>
        <x:color rgb="CBD5E1"/>
      </x:top>
      <x:bottom>
        <x:color rgb="64748B"/>
      </x:bottom>
    </x:border>
    <x:border>
      <x:left>
        <x:color rgb="CBD5E1"/>
      </x:left>
      <x:top>
        <x:color rgb="CBD5E1"/>
      </x:top>
      <x:bottom>
        <x:color rgb="64748B"/>
      </x:bottom>
    </x:border>
    <x:border>
      <x:right>
        <x:color rgb="CBD5E1"/>
      </x:right>
      <x:bottom>
        <x:color rgb="CBD5E1"/>
      </x:bottom>
    </x:border>
    <x:border>
      <x:left>
        <x:color rgb="CBD5E1"/>
      </x:left>
      <x:right>
        <x:color rgb="CBD5E1"/>
      </x:right>
      <x:bottom>
        <x:color rgb="CBD5E1"/>
      </x:bottom>
    </x:border>
    <x:border>
      <x:left>
        <x:color rgb="CBD5E1"/>
      </x:left>
      <x:bottom>
        <x:color rgb="CBD5E1"/>
      </x:bottom>
    </x:border>
    <x:border>
      <x:right>
        <x:color rgb="CBD5E1"/>
      </x:right>
      <x:top>
        <x:color rgb="CBD5E1"/>
      </x:top>
      <x:bottom>
        <x:color rgb="CBD5E1"/>
      </x:bottom>
    </x:border>
    <x:border>
      <x:left>
        <x:color rgb="CBD5E1"/>
      </x:left>
      <x:right>
        <x:color rgb="CBD5E1"/>
      </x:right>
      <x:top>
        <x:color rgb="CBD5E1"/>
      </x:top>
      <x:bottom>
        <x:color rgb="CBD5E1"/>
      </x:bottom>
    </x:border>
    <x:border>
      <x:left>
        <x:color rgb="CBD5E1"/>
      </x:left>
      <x:top>
        <x:color rgb="CBD5E1"/>
      </x:top>
      <x:bottom>
        <x:color rgb="CBD5E1"/>
      </x:bottom>
    </x:border>
    <x:border>
      <x:right>
        <x:color rgb="CBD5E1"/>
      </x:right>
      <x:top>
        <x:color rgb="CBD5E1"/>
      </x:top>
      <x:bottom>
        <x:color rgb="64748B"/>
      </x:bottom>
    </x:border>
    <x:border>
      <x:left>
        <x:color rgb="CBD5E1"/>
      </x:left>
      <x:right>
        <x:color rgb="CBD5E1"/>
      </x:right>
      <x:top>
        <x:color rgb="CBD5E1"/>
      </x:top>
      <x:bottom>
        <x:color rgb="64748B"/>
      </x:bottom>
    </x:border>
    <x:border>
      <x:left>
        <x:color rgb="CBD5E1"/>
      </x:left>
      <x:top>
        <x:color rgb="CBD5E1"/>
      </x:top>
      <x:bottom>
        <x:color rgb="64748B"/>
      </x:bottom>
    </x:border>
    <x:border>
      <x:right>
        <x:color rgb="CBD5E1"/>
      </x:right>
      <x:top>
        <x:color rgb="CBD5E1"/>
      </x:top>
    </x:border>
    <x:border>
      <x:left>
        <x:color rgb="CBD5E1"/>
      </x:left>
      <x:right>
        <x:color rgb="CBD5E1"/>
      </x:right>
      <x:top>
        <x:color rgb="CBD5E1"/>
      </x:top>
    </x:border>
    <x:border>
      <x:left>
        <x:color rgb="CBD5E1"/>
      </x:left>
      <x:top>
        <x:color rgb="CBD5E1"/>
      </x:top>
    </x:border>
    <x:border>
      <x:right>
        <x:color rgb="CBD5E1"/>
      </x:right>
      <x:top>
        <x:color rgb="CBD5E1"/>
      </x:top>
    </x:border>
    <x:border>
      <x:left>
        <x:color rgb="CBD5E1"/>
      </x:left>
      <x:right>
        <x:color rgb="CBD5E1"/>
      </x:right>
      <x:top>
        <x:color rgb="CBD5E1"/>
      </x:top>
    </x:border>
    <x:border>
      <x:left>
        <x:color rgb="CBD5E1"/>
      </x:left>
      <x:top>
        <x:color rgb="CBD5E1"/>
      </x:top>
    </x:border>
    <x:border>
      <x:right>
        <x:color rgb="E2E8F0"/>
      </x:right>
      <x:bottom>
        <x:color rgb="E2E8F0"/>
      </x:bottom>
    </x:border>
    <x:border>
      <x:left>
        <x:color rgb="E2E8F0"/>
      </x:left>
      <x:right>
        <x:color rgb="E2E8F0"/>
      </x:right>
      <x:bottom>
        <x:color rgb="E2E8F0"/>
      </x:bottom>
    </x:border>
    <x:border>
      <x:left>
        <x:color rgb="E2E8F0"/>
      </x:left>
      <x:bottom>
        <x:color rgb="E2E8F0"/>
      </x:bottom>
    </x:border>
    <x:border>
      <x:right>
        <x:color rgb="E2E8F0"/>
      </x:right>
      <x:top>
        <x:color rgb="E2E8F0"/>
      </x:top>
      <x:bottom>
        <x:color rgb="E2E8F0"/>
      </x:bottom>
    </x:border>
    <x:border>
      <x:left>
        <x:color rgb="E2E8F0"/>
      </x:left>
      <x:right>
        <x:color rgb="E2E8F0"/>
      </x:right>
      <x:top>
        <x:color rgb="E2E8F0"/>
      </x:top>
      <x:bottom>
        <x:color rgb="E2E8F0"/>
      </x:bottom>
    </x:border>
    <x:border>
      <x:left>
        <x:color rgb="E2E8F0"/>
      </x:left>
      <x:top>
        <x:color rgb="E2E8F0"/>
      </x:top>
      <x:bottom>
        <x:color rgb="E2E8F0"/>
      </x:bottom>
    </x:border>
    <x:border>
      <x:right>
        <x:color rgb="E2E8F0"/>
      </x:right>
      <x:top>
        <x:color rgb="E2E8F0"/>
      </x:top>
    </x:border>
    <x:border>
      <x:left>
        <x:color rgb="E2E8F0"/>
      </x:left>
      <x:right>
        <x:color rgb="E2E8F0"/>
      </x:right>
      <x:top>
        <x:color rgb="E2E8F0"/>
      </x:top>
    </x:border>
    <x:border>
      <x:left>
        <x:color rgb="E2E8F0"/>
      </x:left>
      <x:top>
        <x:color rgb="E2E8F0"/>
      </x:top>
    </x:border>
    <x:border>
      <x:right>
        <x:color rgb="E2E8F0"/>
      </x:right>
      <x:bottom>
        <x:color rgb="E2E8F0"/>
      </x:bottom>
    </x:border>
    <x:border>
      <x:left>
        <x:color rgb="E2E8F0"/>
      </x:left>
      <x:right>
        <x:color rgb="E2E8F0"/>
      </x:right>
      <x:bottom>
        <x:color rgb="E2E8F0"/>
      </x:bottom>
    </x:border>
    <x:border>
      <x:left>
        <x:color rgb="E2E8F0"/>
      </x:left>
      <x:bottom>
        <x:color rgb="E2E8F0"/>
      </x:bottom>
    </x:border>
    <x:border>
      <x:right>
        <x:color rgb="E2E8F0"/>
      </x:right>
      <x:top>
        <x:color rgb="E2E8F0"/>
      </x:top>
      <x:bottom>
        <x:color rgb="E2E8F0"/>
      </x:bottom>
    </x:border>
    <x:border>
      <x:left>
        <x:color rgb="E2E8F0"/>
      </x:left>
      <x:right>
        <x:color rgb="E2E8F0"/>
      </x:right>
      <x:top>
        <x:color rgb="E2E8F0"/>
      </x:top>
      <x:bottom>
        <x:color rgb="E2E8F0"/>
      </x:bottom>
    </x:border>
    <x:border>
      <x:left>
        <x:color rgb="E2E8F0"/>
      </x:left>
      <x:top>
        <x:color rgb="E2E8F0"/>
      </x:top>
      <x:bottom>
        <x:color rgb="E2E8F0"/>
      </x:bottom>
    </x:border>
    <x:border>
      <x:right>
        <x:color rgb="E2E8F0"/>
      </x:right>
      <x:top>
        <x:color rgb="E2E8F0"/>
      </x:top>
    </x:border>
    <x:border>
      <x:left>
        <x:color rgb="E2E8F0"/>
      </x:left>
      <x:right>
        <x:color rgb="E2E8F0"/>
      </x:right>
      <x:top>
        <x:color rgb="E2E8F0"/>
      </x:top>
    </x:border>
    <x:border>
      <x:left>
        <x:color rgb="E2E8F0"/>
      </x:left>
      <x:top>
        <x:color rgb="E2E8F0"/>
      </x:top>
    </x:border>
    <x:border>
      <x:left>
        <x:color rgb="0B1F33"/>
      </x:left>
      <x:top>
        <x:color rgb="0B1F33"/>
      </x:top>
    </x:border>
    <x:border>
      <x:top>
        <x:color rgb="0B1F33"/>
      </x:top>
    </x:border>
    <x:border>
      <x:right>
        <x:color rgb="0B1F33"/>
      </x:right>
      <x:top>
        <x:color rgb="0B1F33"/>
      </x:top>
    </x:border>
    <x:border>
      <x:left>
        <x:color rgb="0B1F33"/>
      </x:left>
    </x:border>
    <x:border>
      <x:right>
        <x:color rgb="0B1F33"/>
      </x:right>
    </x:border>
    <x:border>
      <x:left>
        <x:color rgb="0B1F33"/>
      </x:left>
      <x:bottom>
        <x:color rgb="0B1F33"/>
      </x:bottom>
    </x:border>
    <x:border>
      <x:bottom>
        <x:color rgb="0B1F33"/>
      </x:bottom>
    </x:border>
    <x:border>
      <x:right>
        <x:color rgb="0B1F33"/>
      </x:right>
      <x:bottom>
        <x:color rgb="0B1F33"/>
      </x:bottom>
    </x:border>
    <x:border>
      <x:left>
        <x:color rgb="0B1F33"/>
      </x:left>
      <x:top>
        <x:color rgb="0B1F33"/>
      </x:top>
    </x:border>
    <x:border>
      <x:top>
        <x:color rgb="0B1F33"/>
      </x:top>
    </x:border>
    <x:border>
      <x:right>
        <x:color rgb="0B1F33"/>
      </x:right>
      <x:top>
        <x:color rgb="0B1F33"/>
      </x:top>
    </x:border>
    <x:border>
      <x:left>
        <x:color rgb="0B1F33"/>
      </x:left>
    </x:border>
    <x:border>
      <x:right>
        <x:color rgb="0B1F33"/>
      </x:right>
    </x:border>
    <x:border>
      <x:left>
        <x:color rgb="0B1F33"/>
      </x:left>
      <x:bottom>
        <x:color rgb="0B1F33"/>
      </x:bottom>
    </x:border>
    <x:border>
      <x:bottom>
        <x:color rgb="0B1F33"/>
      </x:bottom>
    </x:border>
    <x:border>
      <x:right>
        <x:color rgb="0B1F33"/>
      </x:right>
      <x:bottom>
        <x:color rgb="0B1F33"/>
      </x:bottom>
    </x:border>
  </x:borders>
  <x:cellStyleXfs count="1">
    <x:xf numFmtId="0" fontId="0" fillId="0" borderId="0"/>
  </x:cellStyleXfs>
  <x:cellXfs count="36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2" xfId="0" applyNumberFormat="1" applyFont="1" applyFill="1" applyBorder="1" applyAlignment="1">
      <x:alignment horizontal="center"/>
    </x:xf>
    <x:xf numFmtId="0" fontId="2" fillId="3" borderId="3" xfId="0" applyNumberFormat="1" applyFont="1" applyFill="1" applyBorder="1" applyAlignment="1">
      <x:alignment horizontal="center"/>
    </x:xf>
    <x:xf numFmtId="0" fontId="2" fillId="3" borderId="4" xfId="0" applyNumberFormat="1" applyFont="1" applyFill="1" applyBorder="1" applyAlignment="1">
      <x:alignment horizontal="center"/>
    </x:xf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2" fillId="3" borderId="11" xfId="0" applyNumberFormat="1" applyFont="1" applyFill="1" applyBorder="1" applyAlignment="1">
      <x:alignment horizontal="center"/>
    </x:xf>
    <x:xf numFmtId="0" fontId="2" fillId="3" borderId="12" xfId="0" applyNumberFormat="1" applyFont="1" applyFill="1" applyBorder="1" applyAlignment="1">
      <x:alignment horizontal="center"/>
    </x:xf>
    <x:xf numFmtId="0" fontId="2" fillId="3" borderId="13" xfId="0" applyNumberFormat="1" applyFont="1" applyFill="1" applyBorder="1" applyAlignment="1">
      <x:alignment horizontal="center"/>
    </x:xf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3" fillId="0" borderId="5" xfId="0" applyNumberFormat="1" applyFont="1" applyFill="1" applyBorder="1"/>
    <x:xf numFmtId="0" fontId="3" fillId="0" borderId="8" xfId="0" applyNumberFormat="1" applyFont="1" applyFill="1" applyBorder="1"/>
    <x:xf numFmtId="0" fontId="3" fillId="0" borderId="14" xfId="0" applyNumberFormat="1" applyFont="1" applyFill="1" applyBorder="1"/>
    <x:xf numFmtId="0" fontId="3" fillId="0" borderId="17" xfId="0" applyNumberFormat="1" applyFont="1" applyFill="1" applyBorder="1"/>
    <x:xf numFmtId="0" fontId="0" fillId="4" borderId="6" xfId="0" applyNumberFormat="1" applyFont="1" applyFill="1" applyBorder="1"/>
    <x:xf numFmtId="0" fontId="0" fillId="4" borderId="9" xfId="0" applyNumberFormat="1" applyFont="1" applyFill="1" applyBorder="1"/>
    <x:xf numFmtId="0" fontId="0" fillId="4" borderId="6" xfId="0" applyNumberFormat="1" applyFont="1" applyFill="1" applyBorder="1" applyAlignment="1">
      <x:alignment horizontal="center"/>
    </x:xf>
    <x:xf numFmtId="0" fontId="0" fillId="4" borderId="9" xfId="0" applyNumberFormat="1" applyFont="1" applyFill="1" applyBorder="1" applyAlignment="1">
      <x:alignment horizontal="center"/>
    </x:xf>
    <x:xf numFmtId="0" fontId="0" fillId="4" borderId="15" xfId="0" applyNumberFormat="1" applyFont="1" applyFill="1" applyBorder="1"/>
    <x:xf numFmtId="0" fontId="0" fillId="4" borderId="18" xfId="0" applyNumberFormat="1" applyFont="1" applyFill="1" applyBorder="1"/>
    <x:xf numFmtId="0" fontId="0" fillId="4" borderId="15" xfId="0" applyNumberFormat="1" applyFont="1" applyFill="1" applyBorder="1" applyAlignment="1">
      <x:alignment horizontal="center"/>
    </x:xf>
    <x:xf numFmtId="0" fontId="0" fillId="4" borderId="18" xfId="0" applyNumberFormat="1" applyFont="1" applyFill="1" applyBorder="1" applyAlignment="1">
      <x:alignment horizontal="center"/>
    </x:xf>
    <x:xf numFmtId="0" fontId="0" fillId="5" borderId="7" xfId="0" applyNumberFormat="1" applyFont="1" applyFill="1" applyBorder="1"/>
    <x:xf numFmtId="0" fontId="0" fillId="5" borderId="10" xfId="0" applyNumberFormat="1" applyFont="1" applyFill="1" applyBorder="1"/>
    <x:xf numFmtId="0" fontId="3" fillId="5" borderId="7" xfId="0" applyNumberFormat="1" applyFont="1" applyFill="1" applyBorder="1"/>
    <x:xf numFmtId="0" fontId="3" fillId="5" borderId="10" xfId="0" applyNumberFormat="1" applyFont="1" applyFill="1" applyBorder="1"/>
    <x:xf numFmtId="0" fontId="3" fillId="5" borderId="7" xfId="0" applyNumberFormat="1" applyFont="1" applyFill="1" applyBorder="1" applyAlignment="1">
      <x:alignment horizontal="center"/>
    </x:xf>
    <x:xf numFmtId="0" fontId="3" fillId="5" borderId="10" xfId="0" applyNumberFormat="1" applyFont="1" applyFill="1" applyBorder="1" applyAlignment="1">
      <x:alignment horizontal="center"/>
    </x:xf>
    <x:xf numFmtId="0" fontId="0" fillId="5" borderId="16" xfId="0" applyNumberFormat="1" applyFont="1" applyFill="1" applyBorder="1"/>
    <x:xf numFmtId="0" fontId="0" fillId="5" borderId="19" xfId="0" applyNumberFormat="1" applyFont="1" applyFill="1" applyBorder="1"/>
    <x:xf numFmtId="0" fontId="3" fillId="5" borderId="16" xfId="0" applyNumberFormat="1" applyFont="1" applyFill="1" applyBorder="1"/>
    <x:xf numFmtId="0" fontId="3" fillId="5" borderId="19" xfId="0" applyNumberFormat="1" applyFont="1" applyFill="1" applyBorder="1"/>
    <x:xf numFmtId="0" fontId="3" fillId="5" borderId="16" xfId="0" applyNumberFormat="1" applyFont="1" applyFill="1" applyBorder="1" applyAlignment="1">
      <x:alignment horizontal="center"/>
    </x:xf>
    <x:xf numFmtId="0" fontId="3" fillId="5" borderId="19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horizontal="center"/>
    </x:xf>
    <x:xf numFmtId="0" fontId="0" fillId="6" borderId="1" xfId="0" applyNumberFormat="1" applyFont="1" applyFill="1" applyBorder="1"/>
    <x:xf numFmtId="0" fontId="4" fillId="6" borderId="1" xfId="0" applyNumberFormat="1" applyFont="1" applyFill="1" applyBorder="1"/>
    <x:xf numFmtId="0" fontId="4" fillId="6" borderId="1" xfId="0" applyNumberFormat="1" applyFont="1" applyFill="1" applyBorder="1" applyAlignment="1">
      <x:alignment horizontal="center"/>
    </x:xf>
    <x:xf numFmtId="0" fontId="4" fillId="6" borderId="2" xfId="0" applyNumberFormat="1" applyFont="1" applyFill="1" applyBorder="1" applyAlignment="1">
      <x:alignment horizontal="center"/>
    </x:xf>
    <x:xf numFmtId="0" fontId="4" fillId="6" borderId="3" xfId="0" applyNumberFormat="1" applyFont="1" applyFill="1" applyBorder="1" applyAlignment="1">
      <x:alignment horizontal="center"/>
    </x:xf>
    <x:xf numFmtId="0" fontId="4" fillId="6" borderId="4" xfId="0" applyNumberFormat="1" applyFont="1" applyFill="1" applyBorder="1" applyAlignment="1">
      <x:alignment horizontal="center"/>
    </x:xf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22" xfId="0" applyNumberFormat="1" applyFont="1" applyFill="1" applyBorder="1"/>
    <x:xf numFmtId="0" fontId="4" fillId="6" borderId="11" xfId="0" applyNumberFormat="1" applyFont="1" applyFill="1" applyBorder="1" applyAlignment="1">
      <x:alignment horizontal="center"/>
    </x:xf>
    <x:xf numFmtId="0" fontId="4" fillId="6" borderId="12" xfId="0" applyNumberFormat="1" applyFont="1" applyFill="1" applyBorder="1" applyAlignment="1">
      <x:alignment horizontal="center"/>
    </x:xf>
    <x:xf numFmtId="0" fontId="4" fillId="6" borderId="13" xfId="0" applyNumberFormat="1" applyFont="1" applyFill="1" applyBorder="1" applyAlignment="1">
      <x:alignment horizontal="center"/>
    </x:xf>
    <x:xf numFmtId="0" fontId="0" fillId="0" borderId="23" xfId="0" applyNumberFormat="1" applyFont="1" applyFill="1" applyBorder="1"/>
    <x:xf numFmtId="0" fontId="0" fillId="0" borderId="24" xfId="0" applyNumberFormat="1" applyFont="1" applyFill="1" applyBorder="1"/>
    <x:xf numFmtId="0" fontId="0" fillId="0" borderId="25" xfId="0" applyNumberFormat="1" applyFont="1" applyFill="1" applyBorder="1"/>
    <x:xf numFmtId="0" fontId="3" fillId="0" borderId="20" xfId="0" applyNumberFormat="1" applyFont="1" applyFill="1" applyBorder="1"/>
    <x:xf numFmtId="0" fontId="3" fillId="0" borderId="23" xfId="0" applyNumberFormat="1" applyFont="1" applyFill="1" applyBorder="1"/>
    <x:xf numFmtId="200" fontId="0" fillId="0" borderId="6" xfId="0" applyNumberFormat="1" applyFont="1" applyFill="1" applyBorder="1"/>
    <x:xf numFmtId="200" fontId="0" fillId="0" borderId="21" xfId="0" applyNumberFormat="1" applyFont="1" applyFill="1" applyBorder="1"/>
    <x:xf numFmtId="200" fontId="0" fillId="0" borderId="15" xfId="0" applyNumberFormat="1" applyFont="1" applyFill="1" applyBorder="1"/>
    <x:xf numFmtId="200" fontId="0" fillId="0" borderId="24" xfId="0" applyNumberFormat="1" applyFont="1" applyFill="1" applyBorder="1"/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4" fillId="7" borderId="0" xfId="0" applyNumberFormat="1" applyFont="1" applyFill="1" applyBorder="1" applyAlignment="1">
      <x:alignment horizontal="center"/>
    </x:xf>
    <x:xf numFmtId="0" fontId="0" fillId="7" borderId="1" xfId="0" applyNumberFormat="1" applyFont="1" applyFill="1" applyBorder="1"/>
    <x:xf numFmtId="0" fontId="4" fillId="7" borderId="1" xfId="0" applyNumberFormat="1" applyFont="1" applyFill="1" applyBorder="1"/>
    <x:xf numFmtId="0" fontId="4" fillId="7" borderId="1" xfId="0" applyNumberFormat="1" applyFont="1" applyFill="1" applyBorder="1" applyAlignment="1">
      <x:alignment horizontal="center"/>
    </x:xf>
    <x:xf numFmtId="0" fontId="4" fillId="7" borderId="2" xfId="0" applyNumberFormat="1" applyFont="1" applyFill="1" applyBorder="1" applyAlignment="1">
      <x:alignment horizontal="center"/>
    </x:xf>
    <x:xf numFmtId="0" fontId="4" fillId="7" borderId="3" xfId="0" applyNumberFormat="1" applyFont="1" applyFill="1" applyBorder="1" applyAlignment="1">
      <x:alignment horizontal="center"/>
    </x:xf>
    <x:xf numFmtId="0" fontId="4" fillId="7" borderId="4" xfId="0" applyNumberFormat="1" applyFont="1" applyFill="1" applyBorder="1" applyAlignment="1">
      <x:alignment horizontal="center"/>
    </x:xf>
    <x:xf numFmtId="0" fontId="4" fillId="7" borderId="11" xfId="0" applyNumberFormat="1" applyFont="1" applyFill="1" applyBorder="1" applyAlignment="1">
      <x:alignment horizontal="center"/>
    </x:xf>
    <x:xf numFmtId="0" fontId="4" fillId="7" borderId="12" xfId="0" applyNumberFormat="1" applyFont="1" applyFill="1" applyBorder="1" applyAlignment="1">
      <x:alignment horizontal="center"/>
    </x:xf>
    <x:xf numFmtId="0" fontId="4" fillId="7" borderId="13" xfId="0" applyNumberFormat="1" applyFont="1" applyFill="1" applyBorder="1" applyAlignment="1">
      <x:alignment horizontal="center"/>
    </x:xf>
    <x:xf numFmtId="0" fontId="5" fillId="0" borderId="5" xfId="0" applyNumberFormat="1" applyFont="1" applyFill="1" applyBorder="1"/>
    <x:xf numFmtId="0" fontId="5" fillId="0" borderId="20" xfId="0" applyNumberFormat="1" applyFont="1" applyFill="1" applyBorder="1"/>
    <x:xf numFmtId="0" fontId="5" fillId="0" borderId="14" xfId="0" applyNumberFormat="1" applyFont="1" applyFill="1" applyBorder="1"/>
    <x:xf numFmtId="0" fontId="5" fillId="0" borderId="23" xfId="0" applyNumberFormat="1" applyFont="1" applyFill="1" applyBorder="1"/>
    <x:xf numFmtId="0" fontId="0" fillId="5" borderId="6" xfId="0" applyNumberFormat="1" applyFont="1" applyFill="1" applyBorder="1"/>
    <x:xf numFmtId="0" fontId="0" fillId="5" borderId="21" xfId="0" applyNumberFormat="1" applyFont="1" applyFill="1" applyBorder="1"/>
    <x:xf numFmtId="0" fontId="3" fillId="5" borderId="6" xfId="0" applyNumberFormat="1" applyFont="1" applyFill="1" applyBorder="1"/>
    <x:xf numFmtId="0" fontId="3" fillId="5" borderId="21" xfId="0" applyNumberFormat="1" applyFont="1" applyFill="1" applyBorder="1"/>
    <x:xf numFmtId="0" fontId="3" fillId="5" borderId="6" xfId="0" applyNumberFormat="1" applyFont="1" applyFill="1" applyBorder="1" applyAlignment="1">
      <x:alignment horizontal="center"/>
    </x:xf>
    <x:xf numFmtId="0" fontId="3" fillId="5" borderId="21" xfId="0" applyNumberFormat="1" applyFont="1" applyFill="1" applyBorder="1" applyAlignment="1">
      <x:alignment horizontal="center"/>
    </x:xf>
    <x:xf numFmtId="0" fontId="0" fillId="5" borderId="15" xfId="0" applyNumberFormat="1" applyFont="1" applyFill="1" applyBorder="1"/>
    <x:xf numFmtId="0" fontId="0" fillId="5" borderId="24" xfId="0" applyNumberFormat="1" applyFont="1" applyFill="1" applyBorder="1"/>
    <x:xf numFmtId="0" fontId="3" fillId="5" borderId="15" xfId="0" applyNumberFormat="1" applyFont="1" applyFill="1" applyBorder="1"/>
    <x:xf numFmtId="0" fontId="3" fillId="5" borderId="24" xfId="0" applyNumberFormat="1" applyFont="1" applyFill="1" applyBorder="1"/>
    <x:xf numFmtId="0" fontId="3" fillId="5" borderId="15" xfId="0" applyNumberFormat="1" applyFont="1" applyFill="1" applyBorder="1" applyAlignment="1">
      <x:alignment horizontal="center"/>
    </x:xf>
    <x:xf numFmtId="0" fontId="3" fillId="5" borderId="24" xfId="0" applyNumberFormat="1" applyFont="1" applyFill="1" applyBorder="1" applyAlignment="1">
      <x:alignment horizontal="center"/>
    </x:xf>
    <x:xf numFmtId="0" fontId="0" fillId="8" borderId="7" xfId="0" applyNumberFormat="1" applyFont="1" applyFill="1" applyBorder="1"/>
    <x:xf numFmtId="0" fontId="0" fillId="8" borderId="22" xfId="0" applyNumberFormat="1" applyFont="1" applyFill="1" applyBorder="1"/>
    <x:xf numFmtId="0" fontId="3" fillId="8" borderId="7" xfId="0" applyNumberFormat="1" applyFont="1" applyFill="1" applyBorder="1"/>
    <x:xf numFmtId="0" fontId="3" fillId="8" borderId="22" xfId="0" applyNumberFormat="1" applyFont="1" applyFill="1" applyBorder="1"/>
    <x:xf numFmtId="0" fontId="3" fillId="8" borderId="7" xfId="0" applyNumberFormat="1" applyFont="1" applyFill="1" applyBorder="1" applyAlignment="1">
      <x:alignment horizontal="center"/>
    </x:xf>
    <x:xf numFmtId="0" fontId="3" fillId="8" borderId="22" xfId="0" applyNumberFormat="1" applyFont="1" applyFill="1" applyBorder="1" applyAlignment="1">
      <x:alignment horizontal="center"/>
    </x:xf>
    <x:xf numFmtId="0" fontId="0" fillId="8" borderId="16" xfId="0" applyNumberFormat="1" applyFont="1" applyFill="1" applyBorder="1"/>
    <x:xf numFmtId="0" fontId="0" fillId="8" borderId="25" xfId="0" applyNumberFormat="1" applyFont="1" applyFill="1" applyBorder="1"/>
    <x:xf numFmtId="0" fontId="3" fillId="8" borderId="16" xfId="0" applyNumberFormat="1" applyFont="1" applyFill="1" applyBorder="1"/>
    <x:xf numFmtId="0" fontId="3" fillId="8" borderId="25" xfId="0" applyNumberFormat="1" applyFont="1" applyFill="1" applyBorder="1"/>
    <x:xf numFmtId="0" fontId="3" fillId="8" borderId="16" xfId="0" applyNumberFormat="1" applyFont="1" applyFill="1" applyBorder="1" applyAlignment="1">
      <x:alignment horizontal="center"/>
    </x:xf>
    <x:xf numFmtId="0" fontId="3" fillId="8" borderId="25" xfId="0" applyNumberFormat="1" applyFont="1" applyFill="1" applyBorder="1" applyAlignment="1">
      <x:alignment horizontal="center"/>
    </x:xf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horizontal="center"/>
    </x:xf>
    <x:xf numFmtId="0" fontId="6" fillId="2" borderId="0" xfId="0" applyNumberFormat="1" applyFont="1" applyFill="1" applyBorder="1" applyAlignment="1">
      <x:alignment horizontal="center" vertical="center"/>
    </x:xf>
    <x:xf numFmtId="0" fontId="6" fillId="2" borderId="1" xfId="0" applyNumberFormat="1" applyFont="1" applyFill="1" applyBorder="1"/>
    <x:xf numFmtId="0" fontId="6" fillId="2" borderId="1" xfId="0" applyNumberFormat="1" applyFont="1" applyFill="1" applyBorder="1" applyAlignment="1">
      <x:alignment horizontal="center"/>
    </x:xf>
    <x:xf numFmtId="0" fontId="6" fillId="2" borderId="1" xfId="0" applyNumberFormat="1" applyFont="1" applyFill="1" applyBorder="1" applyAlignment="1">
      <x:alignment horizontal="center" vertical="center"/>
    </x:xf>
    <x:xf numFmtId="0" fontId="7" fillId="3" borderId="0" xfId="0" applyNumberFormat="1" applyFont="1" applyFill="1" applyBorder="1"/>
    <x:xf numFmtId="0" fontId="7" fillId="3" borderId="0" xfId="0" applyNumberFormat="1" applyFont="1" applyFill="1" applyBorder="1" applyAlignment="1">
      <x:alignment horizontal="center"/>
    </x:xf>
    <x:xf numFmtId="0" fontId="7" fillId="3" borderId="1" xfId="0" applyNumberFormat="1" applyFont="1" applyFill="1" applyBorder="1"/>
    <x:xf numFmtId="0" fontId="7" fillId="3" borderId="1" xfId="0" applyNumberFormat="1" applyFont="1" applyFill="1" applyBorder="1" applyAlignment="1">
      <x:alignment horizontal="center"/>
    </x:xf>
    <x:xf numFmtId="0" fontId="0" fillId="9" borderId="0" xfId="0" applyNumberFormat="1" applyFont="1" applyFill="1" applyBorder="1"/>
    <x:xf numFmtId="0" fontId="4" fillId="9" borderId="0" xfId="0" applyNumberFormat="1" applyFont="1" applyFill="1" applyBorder="1"/>
    <x:xf numFmtId="0" fontId="4" fillId="9" borderId="0" xfId="0" applyNumberFormat="1" applyFont="1" applyFill="1" applyBorder="1" applyAlignment="1">
      <x:alignment horizontal="center"/>
    </x:xf>
    <x:xf numFmtId="0" fontId="0" fillId="9" borderId="1" xfId="0" applyNumberFormat="1" applyFont="1" applyFill="1" applyBorder="1"/>
    <x:xf numFmtId="0" fontId="4" fillId="9" borderId="1" xfId="0" applyNumberFormat="1" applyFont="1" applyFill="1" applyBorder="1"/>
    <x:xf numFmtId="0" fontId="4" fillId="9" borderId="1" xfId="0" applyNumberFormat="1" applyFont="1" applyFill="1" applyBorder="1" applyAlignment="1">
      <x:alignment horizontal="center"/>
    </x:xf>
    <x:xf numFmtId="0" fontId="0" fillId="10" borderId="5" xfId="0" applyNumberFormat="1" applyFont="1" applyFill="1" applyBorder="1"/>
    <x:xf numFmtId="0" fontId="3" fillId="10" borderId="5" xfId="0" applyNumberFormat="1" applyFont="1" applyFill="1" applyBorder="1"/>
    <x:xf numFmtId="0" fontId="3" fillId="10" borderId="5" xfId="0" applyNumberFormat="1" applyFont="1" applyFill="1" applyBorder="1" applyAlignment="1">
      <x:alignment horizontal="center"/>
    </x:xf>
    <x:xf numFmtId="0" fontId="0" fillId="10" borderId="14" xfId="0" applyNumberFormat="1" applyFont="1" applyFill="1" applyBorder="1"/>
    <x:xf numFmtId="0" fontId="3" fillId="10" borderId="14" xfId="0" applyNumberFormat="1" applyFont="1" applyFill="1" applyBorder="1"/>
    <x:xf numFmtId="0" fontId="3" fillId="10" borderId="14" xfId="0" applyNumberFormat="1" applyFont="1" applyFill="1" applyBorder="1" applyAlignment="1">
      <x:alignment horizontal="center"/>
    </x:xf>
    <x:xf numFmtId="0" fontId="0" fillId="11" borderId="0" xfId="0" applyNumberFormat="1" applyFont="1" applyFill="1" applyBorder="1"/>
    <x:xf numFmtId="0" fontId="4" fillId="11" borderId="0" xfId="0" applyNumberFormat="1" applyFont="1" applyFill="1" applyBorder="1"/>
    <x:xf numFmtId="0" fontId="4" fillId="11" borderId="0" xfId="0" applyNumberFormat="1" applyFont="1" applyFill="1" applyBorder="1" applyAlignment="1">
      <x:alignment horizontal="center"/>
    </x:xf>
    <x:xf numFmtId="0" fontId="0" fillId="11" borderId="1" xfId="0" applyNumberFormat="1" applyFont="1" applyFill="1" applyBorder="1"/>
    <x:xf numFmtId="0" fontId="4" fillId="11" borderId="1" xfId="0" applyNumberFormat="1" applyFont="1" applyFill="1" applyBorder="1"/>
    <x:xf numFmtId="0" fontId="4" fillId="11" borderId="1" xfId="0" applyNumberFormat="1" applyFont="1" applyFill="1" applyBorder="1" applyAlignment="1">
      <x:alignment horizontal="center"/>
    </x:xf>
    <x:xf numFmtId="0" fontId="0" fillId="0" borderId="26" xfId="0" applyNumberFormat="1" applyFont="1" applyFill="1" applyBorder="1"/>
    <x:xf numFmtId="0" fontId="0" fillId="0" borderId="27" xfId="0" applyNumberFormat="1" applyFont="1" applyFill="1" applyBorder="1"/>
    <x:xf numFmtId="0" fontId="0" fillId="0" borderId="28" xfId="0" applyNumberFormat="1" applyFont="1" applyFill="1" applyBorder="1"/>
    <x:xf numFmtId="0" fontId="0" fillId="0" borderId="29" xfId="0" applyNumberFormat="1" applyFont="1" applyFill="1" applyBorder="1"/>
    <x:xf numFmtId="0" fontId="0" fillId="0" borderId="30" xfId="0" applyNumberFormat="1" applyFont="1" applyFill="1" applyBorder="1"/>
    <x:xf numFmtId="0" fontId="0" fillId="0" borderId="31" xfId="0" applyNumberFormat="1" applyFont="1" applyFill="1" applyBorder="1"/>
    <x:xf numFmtId="0" fontId="0" fillId="0" borderId="32" xfId="0" applyNumberFormat="1" applyFont="1" applyFill="1" applyBorder="1"/>
    <x:xf numFmtId="0" fontId="0" fillId="0" borderId="33" xfId="0" applyNumberFormat="1" applyFont="1" applyFill="1" applyBorder="1"/>
    <x:xf numFmtId="0" fontId="0" fillId="0" borderId="34" xfId="0" applyNumberFormat="1" applyFont="1" applyFill="1" applyBorder="1"/>
    <x:xf numFmtId="0" fontId="0" fillId="0" borderId="35" xfId="0" applyNumberFormat="1" applyFont="1" applyFill="1" applyBorder="1"/>
    <x:xf numFmtId="0" fontId="0" fillId="0" borderId="36" xfId="0" applyNumberFormat="1" applyFont="1" applyFill="1" applyBorder="1"/>
    <x:xf numFmtId="0" fontId="0" fillId="0" borderId="37" xfId="0" applyNumberFormat="1" applyFont="1" applyFill="1" applyBorder="1"/>
    <x:xf numFmtId="0" fontId="0" fillId="0" borderId="38" xfId="0" applyNumberFormat="1" applyFont="1" applyFill="1" applyBorder="1"/>
    <x:xf numFmtId="0" fontId="0" fillId="0" borderId="39" xfId="0" applyNumberFormat="1" applyFont="1" applyFill="1" applyBorder="1"/>
    <x:xf numFmtId="0" fontId="0" fillId="0" borderId="40" xfId="0" applyNumberFormat="1" applyFont="1" applyFill="1" applyBorder="1"/>
    <x:xf numFmtId="0" fontId="0" fillId="0" borderId="41" xfId="0" applyNumberFormat="1" applyFont="1" applyFill="1" applyBorder="1"/>
    <x:xf numFmtId="0" fontId="0" fillId="0" borderId="42" xfId="0" applyNumberFormat="1" applyFont="1" applyFill="1" applyBorder="1"/>
    <x:xf numFmtId="0" fontId="0" fillId="0" borderId="43" xfId="0" applyNumberFormat="1" applyFont="1" applyFill="1" applyBorder="1"/>
    <x:xf numFmtId="200" fontId="0" fillId="0" borderId="26" xfId="0" applyNumberFormat="1" applyFont="1" applyFill="1" applyBorder="1"/>
    <x:xf numFmtId="200" fontId="0" fillId="0" borderId="29" xfId="0" applyNumberFormat="1" applyFont="1" applyFill="1" applyBorder="1"/>
    <x:xf numFmtId="200" fontId="0" fillId="0" borderId="32" xfId="0" applyNumberFormat="1" applyFont="1" applyFill="1" applyBorder="1"/>
    <x:xf numFmtId="200" fontId="0" fillId="0" borderId="35" xfId="0" applyNumberFormat="1" applyFont="1" applyFill="1" applyBorder="1"/>
    <x:xf numFmtId="200" fontId="0" fillId="0" borderId="38" xfId="0" applyNumberFormat="1" applyFont="1" applyFill="1" applyBorder="1"/>
    <x:xf numFmtId="200" fontId="0" fillId="0" borderId="41" xfId="0" applyNumberFormat="1" applyFont="1" applyFill="1" applyBorder="1"/>
    <x:xf numFmtId="0" fontId="8" fillId="2" borderId="0" xfId="0" applyNumberFormat="1" applyFont="1" applyFill="1" applyBorder="1"/>
    <x:xf numFmtId="0" fontId="8" fillId="2" borderId="0" xfId="0" applyNumberFormat="1" applyFont="1" applyFill="1" applyBorder="1" applyAlignment="1">
      <x:alignment horizontal="center"/>
    </x:xf>
    <x:xf numFmtId="0" fontId="8" fillId="2" borderId="1" xfId="0" applyNumberFormat="1" applyFont="1" applyFill="1" applyBorder="1"/>
    <x:xf numFmtId="0" fontId="8" fillId="2" borderId="1" xfId="0" applyNumberFormat="1" applyFont="1" applyFill="1" applyBorder="1" applyAlignment="1">
      <x:alignment horizontal="center"/>
    </x:xf>
    <x:xf numFmtId="0" fontId="0" fillId="12" borderId="0" xfId="0" applyNumberFormat="1" applyFont="1" applyFill="1" applyBorder="1"/>
    <x:xf numFmtId="0" fontId="3" fillId="12" borderId="0" xfId="0" applyNumberFormat="1" applyFont="1" applyFill="1" applyBorder="1"/>
    <x:xf numFmtId="0" fontId="3" fillId="12" borderId="0" xfId="0" applyNumberFormat="1" applyFont="1" applyFill="1" applyBorder="1" applyAlignment="1">
      <x:alignment wrapText="1"/>
    </x:xf>
    <x:xf numFmtId="0" fontId="3" fillId="12" borderId="0" xfId="0" applyNumberFormat="1" applyFont="1" applyFill="1" applyBorder="1" applyAlignment="1">
      <x:alignment horizontal="center" wrapText="1"/>
    </x:xf>
    <x:xf numFmtId="0" fontId="0" fillId="12" borderId="1" xfId="0" applyNumberFormat="1" applyFont="1" applyFill="1" applyBorder="1"/>
    <x:xf numFmtId="0" fontId="3" fillId="12" borderId="1" xfId="0" applyNumberFormat="1" applyFont="1" applyFill="1" applyBorder="1"/>
    <x:xf numFmtId="0" fontId="3" fillId="12" borderId="1" xfId="0" applyNumberFormat="1" applyFont="1" applyFill="1" applyBorder="1" applyAlignment="1">
      <x:alignment wrapText="1"/>
    </x:xf>
    <x:xf numFmtId="0" fontId="3" fillId="12" borderId="1" xfId="0" applyNumberFormat="1" applyFont="1" applyFill="1" applyBorder="1" applyAlignment="1">
      <x:alignment horizontal="center" wrapText="1"/>
    </x:xf>
    <x:xf numFmtId="0" fontId="0" fillId="13" borderId="0" xfId="0" applyNumberFormat="1" applyFont="1" applyFill="1" applyBorder="1"/>
    <x:xf numFmtId="0" fontId="9" fillId="13" borderId="0" xfId="0" applyNumberFormat="1" applyFont="1" applyFill="1" applyBorder="1"/>
    <x:xf numFmtId="0" fontId="9" fillId="13" borderId="44" xfId="0" applyNumberFormat="1" applyFont="1" applyFill="1" applyBorder="1"/>
    <x:xf numFmtId="0" fontId="9" fillId="13" borderId="45" xfId="0" applyNumberFormat="1" applyFont="1" applyFill="1" applyBorder="1"/>
    <x:xf numFmtId="0" fontId="9" fillId="13" borderId="46" xfId="0" applyNumberFormat="1" applyFont="1" applyFill="1" applyBorder="1"/>
    <x:xf numFmtId="0" fontId="9" fillId="13" borderId="47" xfId="0" applyNumberFormat="1" applyFont="1" applyFill="1" applyBorder="1"/>
    <x:xf numFmtId="0" fontId="9" fillId="13" borderId="48" xfId="0" applyNumberFormat="1" applyFont="1" applyFill="1" applyBorder="1"/>
    <x:xf numFmtId="0" fontId="9" fillId="13" borderId="49" xfId="0" applyNumberFormat="1" applyFont="1" applyFill="1" applyBorder="1"/>
    <x:xf numFmtId="0" fontId="9" fillId="13" borderId="50" xfId="0" applyNumberFormat="1" applyFont="1" applyFill="1" applyBorder="1"/>
    <x:xf numFmtId="0" fontId="9" fillId="13" borderId="51" xfId="0" applyNumberFormat="1" applyFont="1" applyFill="1" applyBorder="1"/>
    <x:xf numFmtId="0" fontId="9" fillId="13" borderId="44" xfId="0" applyNumberFormat="1" applyFont="1" applyFill="1" applyBorder="1" applyAlignment="1">
      <x:alignment horizontal="center"/>
    </x:xf>
    <x:xf numFmtId="0" fontId="9" fillId="13" borderId="45" xfId="0" applyNumberFormat="1" applyFont="1" applyFill="1" applyBorder="1" applyAlignment="1">
      <x:alignment horizontal="center"/>
    </x:xf>
    <x:xf numFmtId="0" fontId="9" fillId="13" borderId="46" xfId="0" applyNumberFormat="1" applyFont="1" applyFill="1" applyBorder="1" applyAlignment="1">
      <x:alignment horizontal="center"/>
    </x:xf>
    <x:xf numFmtId="0" fontId="9" fillId="13" borderId="47" xfId="0" applyNumberFormat="1" applyFont="1" applyFill="1" applyBorder="1" applyAlignment="1">
      <x:alignment horizontal="center"/>
    </x:xf>
    <x:xf numFmtId="0" fontId="9" fillId="13" borderId="0" xfId="0" applyNumberFormat="1" applyFont="1" applyFill="1" applyBorder="1" applyAlignment="1">
      <x:alignment horizontal="center"/>
    </x:xf>
    <x:xf numFmtId="0" fontId="9" fillId="13" borderId="48" xfId="0" applyNumberFormat="1" applyFont="1" applyFill="1" applyBorder="1" applyAlignment="1">
      <x:alignment horizontal="center"/>
    </x:xf>
    <x:xf numFmtId="0" fontId="9" fillId="13" borderId="49" xfId="0" applyNumberFormat="1" applyFont="1" applyFill="1" applyBorder="1" applyAlignment="1">
      <x:alignment horizontal="center"/>
    </x:xf>
    <x:xf numFmtId="0" fontId="9" fillId="13" borderId="50" xfId="0" applyNumberFormat="1" applyFont="1" applyFill="1" applyBorder="1" applyAlignment="1">
      <x:alignment horizontal="center"/>
    </x:xf>
    <x:xf numFmtId="0" fontId="9" fillId="13" borderId="51" xfId="0" applyNumberFormat="1" applyFont="1" applyFill="1" applyBorder="1" applyAlignment="1">
      <x:alignment horizontal="center"/>
    </x:xf>
    <x:xf numFmtId="0" fontId="9" fillId="13" borderId="44" xfId="0" applyNumberFormat="1" applyFont="1" applyFill="1" applyBorder="1" applyAlignment="1">
      <x:alignment horizontal="center" vertical="center"/>
    </x:xf>
    <x:xf numFmtId="0" fontId="9" fillId="13" borderId="45" xfId="0" applyNumberFormat="1" applyFont="1" applyFill="1" applyBorder="1" applyAlignment="1">
      <x:alignment horizontal="center" vertical="center"/>
    </x:xf>
    <x:xf numFmtId="0" fontId="9" fillId="13" borderId="46" xfId="0" applyNumberFormat="1" applyFont="1" applyFill="1" applyBorder="1" applyAlignment="1">
      <x:alignment horizontal="center" vertical="center"/>
    </x:xf>
    <x:xf numFmtId="0" fontId="9" fillId="13" borderId="47" xfId="0" applyNumberFormat="1" applyFont="1" applyFill="1" applyBorder="1" applyAlignment="1">
      <x:alignment horizontal="center" vertical="center"/>
    </x:xf>
    <x:xf numFmtId="0" fontId="9" fillId="13" borderId="0" xfId="0" applyNumberFormat="1" applyFont="1" applyFill="1" applyBorder="1" applyAlignment="1">
      <x:alignment horizontal="center" vertical="center"/>
    </x:xf>
    <x:xf numFmtId="0" fontId="9" fillId="13" borderId="48" xfId="0" applyNumberFormat="1" applyFont="1" applyFill="1" applyBorder="1" applyAlignment="1">
      <x:alignment horizontal="center" vertical="center"/>
    </x:xf>
    <x:xf numFmtId="0" fontId="9" fillId="13" borderId="49" xfId="0" applyNumberFormat="1" applyFont="1" applyFill="1" applyBorder="1" applyAlignment="1">
      <x:alignment horizontal="center" vertical="center"/>
    </x:xf>
    <x:xf numFmtId="0" fontId="9" fillId="13" borderId="50" xfId="0" applyNumberFormat="1" applyFont="1" applyFill="1" applyBorder="1" applyAlignment="1">
      <x:alignment horizontal="center" vertical="center"/>
    </x:xf>
    <x:xf numFmtId="0" fontId="9" fillId="13" borderId="51" xfId="0" applyNumberFormat="1" applyFont="1" applyFill="1" applyBorder="1" applyAlignment="1">
      <x:alignment horizontal="center" vertical="center"/>
    </x:xf>
    <x:xf numFmtId="0" fontId="0" fillId="13" borderId="1" xfId="0" applyNumberFormat="1" applyFont="1" applyFill="1" applyBorder="1"/>
    <x:xf numFmtId="0" fontId="9" fillId="13" borderId="1" xfId="0" applyNumberFormat="1" applyFont="1" applyFill="1" applyBorder="1"/>
    <x:xf numFmtId="0" fontId="9" fillId="13" borderId="52" xfId="0" applyNumberFormat="1" applyFont="1" applyFill="1" applyBorder="1"/>
    <x:xf numFmtId="0" fontId="9" fillId="13" borderId="53" xfId="0" applyNumberFormat="1" applyFont="1" applyFill="1" applyBorder="1"/>
    <x:xf numFmtId="0" fontId="9" fillId="13" borderId="54" xfId="0" applyNumberFormat="1" applyFont="1" applyFill="1" applyBorder="1"/>
    <x:xf numFmtId="0" fontId="9" fillId="13" borderId="55" xfId="0" applyNumberFormat="1" applyFont="1" applyFill="1" applyBorder="1"/>
    <x:xf numFmtId="0" fontId="9" fillId="13" borderId="56" xfId="0" applyNumberFormat="1" applyFont="1" applyFill="1" applyBorder="1"/>
    <x:xf numFmtId="0" fontId="9" fillId="13" borderId="57" xfId="0" applyNumberFormat="1" applyFont="1" applyFill="1" applyBorder="1"/>
    <x:xf numFmtId="0" fontId="9" fillId="13" borderId="58" xfId="0" applyNumberFormat="1" applyFont="1" applyFill="1" applyBorder="1"/>
    <x:xf numFmtId="0" fontId="9" fillId="13" borderId="59" xfId="0" applyNumberFormat="1" applyFont="1" applyFill="1" applyBorder="1"/>
    <x:xf numFmtId="0" fontId="9" fillId="13" borderId="52" xfId="0" applyNumberFormat="1" applyFont="1" applyFill="1" applyBorder="1" applyAlignment="1">
      <x:alignment horizontal="center"/>
    </x:xf>
    <x:xf numFmtId="0" fontId="9" fillId="13" borderId="53" xfId="0" applyNumberFormat="1" applyFont="1" applyFill="1" applyBorder="1" applyAlignment="1">
      <x:alignment horizontal="center"/>
    </x:xf>
    <x:xf numFmtId="0" fontId="9" fillId="13" borderId="54" xfId="0" applyNumberFormat="1" applyFont="1" applyFill="1" applyBorder="1" applyAlignment="1">
      <x:alignment horizontal="center"/>
    </x:xf>
    <x:xf numFmtId="0" fontId="9" fillId="13" borderId="55" xfId="0" applyNumberFormat="1" applyFont="1" applyFill="1" applyBorder="1" applyAlignment="1">
      <x:alignment horizontal="center"/>
    </x:xf>
    <x:xf numFmtId="0" fontId="9" fillId="13" borderId="1" xfId="0" applyNumberFormat="1" applyFont="1" applyFill="1" applyBorder="1" applyAlignment="1">
      <x:alignment horizontal="center"/>
    </x:xf>
    <x:xf numFmtId="0" fontId="9" fillId="13" borderId="56" xfId="0" applyNumberFormat="1" applyFont="1" applyFill="1" applyBorder="1" applyAlignment="1">
      <x:alignment horizontal="center"/>
    </x:xf>
    <x:xf numFmtId="0" fontId="9" fillId="13" borderId="57" xfId="0" applyNumberFormat="1" applyFont="1" applyFill="1" applyBorder="1" applyAlignment="1">
      <x:alignment horizontal="center"/>
    </x:xf>
    <x:xf numFmtId="0" fontId="9" fillId="13" borderId="58" xfId="0" applyNumberFormat="1" applyFont="1" applyFill="1" applyBorder="1" applyAlignment="1">
      <x:alignment horizontal="center"/>
    </x:xf>
    <x:xf numFmtId="0" fontId="9" fillId="13" borderId="59" xfId="0" applyNumberFormat="1" applyFont="1" applyFill="1" applyBorder="1" applyAlignment="1">
      <x:alignment horizontal="center"/>
    </x:xf>
    <x:xf numFmtId="0" fontId="9" fillId="13" borderId="52" xfId="0" applyNumberFormat="1" applyFont="1" applyFill="1" applyBorder="1" applyAlignment="1">
      <x:alignment horizontal="center" vertical="center"/>
    </x:xf>
    <x:xf numFmtId="0" fontId="9" fillId="13" borderId="53" xfId="0" applyNumberFormat="1" applyFont="1" applyFill="1" applyBorder="1" applyAlignment="1">
      <x:alignment horizontal="center" vertical="center"/>
    </x:xf>
    <x:xf numFmtId="0" fontId="9" fillId="13" borderId="54" xfId="0" applyNumberFormat="1" applyFont="1" applyFill="1" applyBorder="1" applyAlignment="1">
      <x:alignment horizontal="center" vertical="center"/>
    </x:xf>
    <x:xf numFmtId="0" fontId="9" fillId="13" borderId="55" xfId="0" applyNumberFormat="1" applyFont="1" applyFill="1" applyBorder="1" applyAlignment="1">
      <x:alignment horizontal="center" vertical="center"/>
    </x:xf>
    <x:xf numFmtId="0" fontId="9" fillId="13" borderId="1" xfId="0" applyNumberFormat="1" applyFont="1" applyFill="1" applyBorder="1" applyAlignment="1">
      <x:alignment horizontal="center" vertical="center"/>
    </x:xf>
    <x:xf numFmtId="0" fontId="9" fillId="13" borderId="56" xfId="0" applyNumberFormat="1" applyFont="1" applyFill="1" applyBorder="1" applyAlignment="1">
      <x:alignment horizontal="center" vertical="center"/>
    </x:xf>
    <x:xf numFmtId="0" fontId="9" fillId="13" borderId="57" xfId="0" applyNumberFormat="1" applyFont="1" applyFill="1" applyBorder="1" applyAlignment="1">
      <x:alignment horizontal="center" vertical="center"/>
    </x:xf>
    <x:xf numFmtId="0" fontId="9" fillId="13" borderId="58" xfId="0" applyNumberFormat="1" applyFont="1" applyFill="1" applyBorder="1" applyAlignment="1">
      <x:alignment horizontal="center" vertical="center"/>
    </x:xf>
    <x:xf numFmtId="0" fontId="9" fillId="13" borderId="59" xfId="0" applyNumberFormat="1" applyFont="1" applyFill="1" applyBorder="1" applyAlignment="1">
      <x:alignment horizontal="center" vertical="center"/>
    </x:xf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4" xfId="0" applyNumberFormat="1" applyFont="1" applyFill="1" applyBorder="1"/>
    <x:xf numFmtId="0" fontId="3" fillId="3" borderId="11" xfId="0" applyNumberFormat="1" applyFont="1" applyFill="1" applyBorder="1"/>
    <x:xf numFmtId="0" fontId="3" fillId="3" borderId="13" xfId="0" applyNumberFormat="1" applyFont="1" applyFill="1" applyBorder="1"/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3" fillId="8" borderId="0" xfId="0" applyNumberFormat="1" applyFont="1" applyFill="1" applyBorder="1" applyAlignment="1">
      <x:alignment wrapText="1"/>
    </x:xf>
    <x:xf numFmtId="0" fontId="3" fillId="8" borderId="0" xfId="0" applyNumberFormat="1" applyFont="1" applyFill="1" applyBorder="1" applyAlignment="1">
      <x:alignment horizontal="center" wrapText="1"/>
    </x:xf>
    <x:xf numFmtId="0" fontId="3" fillId="8" borderId="0" xfId="0" applyNumberFormat="1" applyFont="1" applyFill="1" applyBorder="1" applyAlignment="1">
      <x:alignment horizontal="center" vertical="center" wrapText="1"/>
    </x:xf>
    <x:xf numFmtId="0" fontId="0" fillId="8" borderId="1" xfId="0" applyNumberFormat="1" applyFont="1" applyFill="1" applyBorder="1"/>
    <x:xf numFmtId="0" fontId="3" fillId="8" borderId="1" xfId="0" applyNumberFormat="1" applyFont="1" applyFill="1" applyBorder="1"/>
    <x:xf numFmtId="0" fontId="3" fillId="8" borderId="1" xfId="0" applyNumberFormat="1" applyFont="1" applyFill="1" applyBorder="1" applyAlignment="1">
      <x:alignment wrapText="1"/>
    </x:xf>
    <x:xf numFmtId="0" fontId="3" fillId="8" borderId="1" xfId="0" applyNumberFormat="1" applyFont="1" applyFill="1" applyBorder="1" applyAlignment="1">
      <x:alignment horizontal="center" wrapText="1"/>
    </x:xf>
    <x:xf numFmtId="0" fontId="3" fillId="8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center"/>
    </x:xf>
    <x:xf numFmtId="0" fontId="7" fillId="3" borderId="0" xfId="0" applyNumberFormat="1" applyFont="1" applyFill="1" applyBorder="1" applyAlignment="1">
      <x:alignment horizontal="center" vertical="center"/>
    </x:xf>
    <x:xf numFmtId="0" fontId="4" fillId="9" borderId="0" xfId="0" applyNumberFormat="1" applyFont="1" applyFill="1" applyBorder="1" applyAlignment="1">
      <x:alignment horizontal="center" vertical="center"/>
    </x:xf>
    <x:xf numFmtId="0" fontId="4" fillId="6" borderId="2" xfId="0" applyNumberFormat="1" applyFont="1" applyFill="1" applyBorder="1" applyAlignment="1">
      <x:alignment horizontal="center" vertical="center"/>
    </x:xf>
    <x:xf numFmtId="0" fontId="4" fillId="6" borderId="3" xfId="0" applyNumberFormat="1" applyFont="1" applyFill="1" applyBorder="1" applyAlignment="1">
      <x:alignment horizontal="center" vertical="center"/>
    </x:xf>
    <x:xf numFmtId="0" fontId="4" fillId="6" borderId="4" xfId="0" applyNumberFormat="1" applyFont="1" applyFill="1" applyBorder="1" applyAlignment="1">
      <x:alignment horizontal="center" vertical="center"/>
    </x:xf>
    <x:xf numFmtId="0" fontId="3" fillId="10" borderId="5" xfId="0" applyNumberFormat="1" applyFont="1" applyFill="1" applyBorder="1" applyAlignment="1">
      <x:alignment horizontal="center" vertical="center"/>
    </x:xf>
    <x:xf numFmtId="0" fontId="0" fillId="0" borderId="6" xfId="0" applyNumberFormat="1" applyFont="1" applyFill="1" applyBorder="1" applyAlignment="1">
      <x:alignment vertical="center"/>
    </x:xf>
    <x:xf numFmtId="0" fontId="0" fillId="0" borderId="7" xfId="0" applyNumberFormat="1" applyFont="1" applyFill="1" applyBorder="1" applyAlignment="1">
      <x:alignment vertical="center"/>
    </x:xf>
    <x:xf numFmtId="0" fontId="0" fillId="0" borderId="5" xfId="0" applyNumberFormat="1" applyFont="1" applyFill="1" applyBorder="1" applyAlignment="1">
      <x:alignment vertical="center"/>
    </x:xf>
    <x:xf numFmtId="0" fontId="0" fillId="0" borderId="20" xfId="0" applyNumberFormat="1" applyFont="1" applyFill="1" applyBorder="1" applyAlignment="1">
      <x:alignment vertical="center"/>
    </x:xf>
    <x:xf numFmtId="0" fontId="0" fillId="0" borderId="21" xfId="0" applyNumberFormat="1" applyFont="1" applyFill="1" applyBorder="1" applyAlignment="1">
      <x:alignment vertical="center"/>
    </x:xf>
    <x:xf numFmtId="0" fontId="0" fillId="0" borderId="22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7" fillId="3" borderId="1" xfId="0" applyNumberFormat="1" applyFont="1" applyFill="1" applyBorder="1" applyAlignment="1">
      <x:alignment horizontal="center" vertical="center"/>
    </x:xf>
    <x:xf numFmtId="0" fontId="4" fillId="9" borderId="1" xfId="0" applyNumberFormat="1" applyFont="1" applyFill="1" applyBorder="1" applyAlignment="1">
      <x:alignment horizontal="center" vertical="center"/>
    </x:xf>
    <x:xf numFmtId="0" fontId="4" fillId="6" borderId="11" xfId="0" applyNumberFormat="1" applyFont="1" applyFill="1" applyBorder="1" applyAlignment="1">
      <x:alignment horizontal="center" vertical="center"/>
    </x:xf>
    <x:xf numFmtId="0" fontId="4" fillId="6" borderId="12" xfId="0" applyNumberFormat="1" applyFont="1" applyFill="1" applyBorder="1" applyAlignment="1">
      <x:alignment horizontal="center" vertical="center"/>
    </x:xf>
    <x:xf numFmtId="0" fontId="4" fillId="6" borderId="13" xfId="0" applyNumberFormat="1" applyFont="1" applyFill="1" applyBorder="1" applyAlignment="1">
      <x:alignment horizontal="center" vertical="center"/>
    </x:xf>
    <x:xf numFmtId="0" fontId="3" fillId="10" borderId="14" xfId="0" applyNumberFormat="1" applyFont="1" applyFill="1" applyBorder="1" applyAlignment="1">
      <x:alignment horizontal="center" vertical="center"/>
    </x:xf>
    <x:xf numFmtId="0" fontId="0" fillId="0" borderId="15" xfId="0" applyNumberFormat="1" applyFont="1" applyFill="1" applyBorder="1" applyAlignment="1">
      <x:alignment vertical="center"/>
    </x:xf>
    <x:xf numFmtId="0" fontId="0" fillId="0" borderId="16" xfId="0" applyNumberFormat="1" applyFont="1" applyFill="1" applyBorder="1" applyAlignment="1">
      <x:alignment vertical="center"/>
    </x:xf>
    <x:xf numFmtId="0" fontId="0" fillId="0" borderId="14" xfId="0" applyNumberFormat="1" applyFont="1" applyFill="1" applyBorder="1" applyAlignment="1">
      <x:alignment vertical="center"/>
    </x:xf>
    <x:xf numFmtId="0" fontId="0" fillId="0" borderId="23" xfId="0" applyNumberFormat="1" applyFont="1" applyFill="1" applyBorder="1" applyAlignment="1">
      <x:alignment vertical="center"/>
    </x:xf>
    <x:xf numFmtId="0" fontId="0" fillId="0" borderId="24" xfId="0" applyNumberFormat="1" applyFont="1" applyFill="1" applyBorder="1" applyAlignment="1">
      <x:alignment vertical="center"/>
    </x:xf>
    <x:xf numFmtId="0" fontId="0" fillId="0" borderId="25" xfId="0" applyNumberFormat="1" applyFont="1" applyFill="1" applyBorder="1" applyAlignment="1">
      <x:alignment vertical="center"/>
    </x:xf>
    <x:xf numFmtId="0" fontId="4" fillId="7" borderId="2" xfId="0" applyNumberFormat="1" applyFont="1" applyFill="1" applyBorder="1" applyAlignment="1">
      <x:alignment horizontal="center" vertical="center"/>
    </x:xf>
    <x:xf numFmtId="0" fontId="4" fillId="7" borderId="3" xfId="0" applyNumberFormat="1" applyFont="1" applyFill="1" applyBorder="1" applyAlignment="1">
      <x:alignment horizontal="center" vertical="center"/>
    </x:xf>
    <x:xf numFmtId="0" fontId="4" fillId="7" borderId="4" xfId="0" applyNumberFormat="1" applyFont="1" applyFill="1" applyBorder="1" applyAlignment="1">
      <x:alignment horizontal="center" vertical="center"/>
    </x:xf>
    <x:xf numFmtId="0" fontId="5" fillId="0" borderId="5" xfId="0" applyNumberFormat="1" applyFont="1" applyFill="1" applyBorder="1" applyAlignment="1">
      <x:alignment vertical="center"/>
    </x:xf>
    <x:xf numFmtId="0" fontId="3" fillId="5" borderId="6" xfId="0" applyNumberFormat="1" applyFont="1" applyFill="1" applyBorder="1" applyAlignment="1">
      <x:alignment horizontal="center" vertical="center"/>
    </x:xf>
    <x:xf numFmtId="0" fontId="3" fillId="8" borderId="7" xfId="0" applyNumberFormat="1" applyFont="1" applyFill="1" applyBorder="1" applyAlignment="1">
      <x:alignment horizontal="center" vertical="center"/>
    </x:xf>
    <x:xf numFmtId="0" fontId="5" fillId="0" borderId="20" xfId="0" applyNumberFormat="1" applyFont="1" applyFill="1" applyBorder="1" applyAlignment="1">
      <x:alignment vertical="center"/>
    </x:xf>
    <x:xf numFmtId="0" fontId="3" fillId="5" borderId="21" xfId="0" applyNumberFormat="1" applyFont="1" applyFill="1" applyBorder="1" applyAlignment="1">
      <x:alignment horizontal="center" vertical="center"/>
    </x:xf>
    <x:xf numFmtId="0" fontId="3" fillId="8" borderId="22" xfId="0" applyNumberFormat="1" applyFont="1" applyFill="1" applyBorder="1" applyAlignment="1">
      <x:alignment horizontal="center" vertical="center"/>
    </x:xf>
    <x:xf numFmtId="0" fontId="4" fillId="7" borderId="11" xfId="0" applyNumberFormat="1" applyFont="1" applyFill="1" applyBorder="1" applyAlignment="1">
      <x:alignment horizontal="center" vertical="center"/>
    </x:xf>
    <x:xf numFmtId="0" fontId="4" fillId="7" borderId="12" xfId="0" applyNumberFormat="1" applyFont="1" applyFill="1" applyBorder="1" applyAlignment="1">
      <x:alignment horizontal="center" vertical="center"/>
    </x:xf>
    <x:xf numFmtId="0" fontId="4" fillId="7" borderId="13" xfId="0" applyNumberFormat="1" applyFont="1" applyFill="1" applyBorder="1" applyAlignment="1">
      <x:alignment horizontal="center" vertical="center"/>
    </x:xf>
    <x:xf numFmtId="0" fontId="5" fillId="0" borderId="14" xfId="0" applyNumberFormat="1" applyFont="1" applyFill="1" applyBorder="1" applyAlignment="1">
      <x:alignment vertical="center"/>
    </x:xf>
    <x:xf numFmtId="0" fontId="3" fillId="5" borderId="15" xfId="0" applyNumberFormat="1" applyFont="1" applyFill="1" applyBorder="1" applyAlignment="1">
      <x:alignment horizontal="center" vertical="center"/>
    </x:xf>
    <x:xf numFmtId="0" fontId="3" fillId="8" borderId="16" xfId="0" applyNumberFormat="1" applyFont="1" applyFill="1" applyBorder="1" applyAlignment="1">
      <x:alignment horizontal="center" vertical="center"/>
    </x:xf>
    <x:xf numFmtId="0" fontId="5" fillId="0" borderId="23" xfId="0" applyNumberFormat="1" applyFont="1" applyFill="1" applyBorder="1" applyAlignment="1">
      <x:alignment vertical="center"/>
    </x:xf>
    <x:xf numFmtId="0" fontId="3" fillId="5" borderId="24" xfId="0" applyNumberFormat="1" applyFont="1" applyFill="1" applyBorder="1" applyAlignment="1">
      <x:alignment horizontal="center" vertical="center"/>
    </x:xf>
    <x:xf numFmtId="0" fontId="3" fillId="8" borderId="25" xfId="0" applyNumberFormat="1" applyFont="1" applyFill="1" applyBorder="1" applyAlignment="1">
      <x:alignment horizontal="center" vertical="center"/>
    </x:xf>
    <x:xf numFmtId="0" fontId="3" fillId="0" borderId="5" xfId="0" applyNumberFormat="1" applyFont="1" applyFill="1" applyBorder="1" applyAlignment="1">
      <x:alignment vertical="center"/>
    </x:xf>
    <x:xf numFmtId="200" fontId="0" fillId="0" borderId="6" xfId="0" applyNumberFormat="1" applyFont="1" applyFill="1" applyBorder="1" applyAlignment="1">
      <x:alignment vertical="center"/>
    </x:xf>
    <x:xf numFmtId="0" fontId="3" fillId="0" borderId="20" xfId="0" applyNumberFormat="1" applyFont="1" applyFill="1" applyBorder="1" applyAlignment="1">
      <x:alignment vertical="center"/>
    </x:xf>
    <x:xf numFmtId="200" fontId="0" fillId="0" borderId="21" xfId="0" applyNumberFormat="1" applyFont="1" applyFill="1" applyBorder="1" applyAlignment="1">
      <x:alignment vertical="center"/>
    </x:xf>
    <x:xf numFmtId="0" fontId="3" fillId="0" borderId="14" xfId="0" applyNumberFormat="1" applyFont="1" applyFill="1" applyBorder="1" applyAlignment="1">
      <x:alignment vertical="center"/>
    </x:xf>
    <x:xf numFmtId="200" fontId="0" fillId="0" borderId="15" xfId="0" applyNumberFormat="1" applyFont="1" applyFill="1" applyBorder="1" applyAlignment="1">
      <x:alignment vertical="center"/>
    </x:xf>
    <x:xf numFmtId="0" fontId="3" fillId="0" borderId="23" xfId="0" applyNumberFormat="1" applyFont="1" applyFill="1" applyBorder="1" applyAlignment="1">
      <x:alignment vertical="center"/>
    </x:xf>
    <x:xf numFmtId="200" fontId="0" fillId="0" borderId="24" xfId="0" applyNumberFormat="1" applyFont="1" applyFill="1" applyBorder="1" applyAlignment="1">
      <x:alignment vertical="center"/>
    </x:xf>
    <x:xf numFmtId="0" fontId="2" fillId="3" borderId="2" xfId="0" applyNumberFormat="1" applyFont="1" applyFill="1" applyBorder="1" applyAlignment="1">
      <x:alignment horizontal="center" vertical="center"/>
    </x:xf>
    <x:xf numFmtId="0" fontId="2" fillId="3" borderId="3" xfId="0" applyNumberFormat="1" applyFont="1" applyFill="1" applyBorder="1" applyAlignment="1">
      <x:alignment horizontal="center" vertical="center"/>
    </x:xf>
    <x:xf numFmtId="0" fontId="2" fillId="3" borderId="4" xfId="0" applyNumberFormat="1" applyFont="1" applyFill="1" applyBorder="1" applyAlignment="1">
      <x:alignment horizontal="center" vertical="center"/>
    </x:xf>
    <x:xf numFmtId="0" fontId="0" fillId="4" borderId="6" xfId="0" applyNumberFormat="1" applyFont="1" applyFill="1" applyBorder="1" applyAlignment="1">
      <x:alignment horizontal="center" vertical="center"/>
    </x:xf>
    <x:xf numFmtId="0" fontId="3" fillId="5" borderId="7" xfId="0" applyNumberFormat="1" applyFont="1" applyFill="1" applyBorder="1" applyAlignment="1">
      <x:alignment horizontal="center" vertical="center"/>
    </x:xf>
    <x:xf numFmtId="0" fontId="3" fillId="0" borderId="8" xfId="0" applyNumberFormat="1" applyFont="1" applyFill="1" applyBorder="1" applyAlignment="1">
      <x:alignment vertical="center"/>
    </x:xf>
    <x:xf numFmtId="0" fontId="0" fillId="4" borderId="9" xfId="0" applyNumberFormat="1" applyFont="1" applyFill="1" applyBorder="1" applyAlignment="1">
      <x:alignment horizontal="center" vertical="center"/>
    </x:xf>
    <x:xf numFmtId="0" fontId="3" fillId="5" borderId="10" xfId="0" applyNumberFormat="1" applyFont="1" applyFill="1" applyBorder="1" applyAlignment="1">
      <x:alignment horizontal="center" vertical="center"/>
    </x:xf>
    <x:xf numFmtId="0" fontId="2" fillId="3" borderId="11" xfId="0" applyNumberFormat="1" applyFont="1" applyFill="1" applyBorder="1" applyAlignment="1">
      <x:alignment horizontal="center" vertical="center"/>
    </x:xf>
    <x:xf numFmtId="0" fontId="2" fillId="3" borderId="12" xfId="0" applyNumberFormat="1" applyFont="1" applyFill="1" applyBorder="1" applyAlignment="1">
      <x:alignment horizontal="center" vertical="center"/>
    </x:xf>
    <x:xf numFmtId="0" fontId="2" fillId="3" borderId="13" xfId="0" applyNumberFormat="1" applyFont="1" applyFill="1" applyBorder="1" applyAlignment="1">
      <x:alignment horizontal="center" vertical="center"/>
    </x:xf>
    <x:xf numFmtId="0" fontId="0" fillId="4" borderId="15" xfId="0" applyNumberFormat="1" applyFont="1" applyFill="1" applyBorder="1" applyAlignment="1">
      <x:alignment horizontal="center" vertical="center"/>
    </x:xf>
    <x:xf numFmtId="0" fontId="3" fillId="5" borderId="16" xfId="0" applyNumberFormat="1" applyFont="1" applyFill="1" applyBorder="1" applyAlignment="1">
      <x:alignment horizontal="center" vertical="center"/>
    </x:xf>
    <x:xf numFmtId="0" fontId="3" fillId="0" borderId="17" xfId="0" applyNumberFormat="1" applyFont="1" applyFill="1" applyBorder="1" applyAlignment="1">
      <x:alignment vertical="center"/>
    </x:xf>
    <x:xf numFmtId="0" fontId="0" fillId="4" borderId="18" xfId="0" applyNumberFormat="1" applyFont="1" applyFill="1" applyBorder="1" applyAlignment="1">
      <x:alignment horizontal="center" vertical="center"/>
    </x:xf>
    <x:xf numFmtId="0" fontId="3" fillId="5" borderId="19" xfId="0" applyNumberFormat="1" applyFont="1" applyFill="1" applyBorder="1" applyAlignment="1">
      <x:alignment horizontal="center" vertical="center"/>
    </x:xf>
    <x:xf numFmtId="0" fontId="4" fillId="11" borderId="0" xfId="0" applyNumberFormat="1" applyFont="1" applyFill="1" applyBorder="1" applyAlignment="1">
      <x:alignment horizontal="center" vertical="center"/>
    </x:xf>
    <x:xf numFmtId="200" fontId="0" fillId="0" borderId="26" xfId="0" applyNumberFormat="1" applyFont="1" applyFill="1" applyBorder="1" applyAlignment="1">
      <x:alignment vertical="center"/>
    </x:xf>
    <x:xf numFmtId="0" fontId="0" fillId="0" borderId="27" xfId="0" applyNumberFormat="1" applyFont="1" applyFill="1" applyBorder="1" applyAlignment="1">
      <x:alignment vertical="center"/>
    </x:xf>
    <x:xf numFmtId="0" fontId="0" fillId="0" borderId="28" xfId="0" applyNumberFormat="1" applyFont="1" applyFill="1" applyBorder="1" applyAlignment="1">
      <x:alignment vertical="center"/>
    </x:xf>
    <x:xf numFmtId="200" fontId="0" fillId="0" borderId="29" xfId="0" applyNumberFormat="1" applyFont="1" applyFill="1" applyBorder="1" applyAlignment="1">
      <x:alignment vertical="center"/>
    </x:xf>
    <x:xf numFmtId="0" fontId="0" fillId="0" borderId="30" xfId="0" applyNumberFormat="1" applyFont="1" applyFill="1" applyBorder="1" applyAlignment="1">
      <x:alignment vertical="center"/>
    </x:xf>
    <x:xf numFmtId="0" fontId="0" fillId="0" borderId="31" xfId="0" applyNumberFormat="1" applyFont="1" applyFill="1" applyBorder="1" applyAlignment="1">
      <x:alignment vertical="center"/>
    </x:xf>
    <x:xf numFmtId="200" fontId="0" fillId="0" borderId="32" xfId="0" applyNumberFormat="1" applyFont="1" applyFill="1" applyBorder="1" applyAlignment="1">
      <x:alignment vertical="center"/>
    </x:xf>
    <x:xf numFmtId="0" fontId="0" fillId="0" borderId="33" xfId="0" applyNumberFormat="1" applyFont="1" applyFill="1" applyBorder="1" applyAlignment="1">
      <x:alignment vertical="center"/>
    </x:xf>
    <x:xf numFmtId="0" fontId="0" fillId="0" borderId="34" xfId="0" applyNumberFormat="1" applyFont="1" applyFill="1" applyBorder="1" applyAlignment="1">
      <x:alignment vertical="center"/>
    </x:xf>
    <x:xf numFmtId="0" fontId="4" fillId="11" borderId="1" xfId="0" applyNumberFormat="1" applyFont="1" applyFill="1" applyBorder="1" applyAlignment="1">
      <x:alignment horizontal="center" vertical="center"/>
    </x:xf>
    <x:xf numFmtId="200" fontId="0" fillId="0" borderId="35" xfId="0" applyNumberFormat="1" applyFont="1" applyFill="1" applyBorder="1" applyAlignment="1">
      <x:alignment vertical="center"/>
    </x:xf>
    <x:xf numFmtId="0" fontId="0" fillId="0" borderId="36" xfId="0" applyNumberFormat="1" applyFont="1" applyFill="1" applyBorder="1" applyAlignment="1">
      <x:alignment vertical="center"/>
    </x:xf>
    <x:xf numFmtId="0" fontId="0" fillId="0" borderId="37" xfId="0" applyNumberFormat="1" applyFont="1" applyFill="1" applyBorder="1" applyAlignment="1">
      <x:alignment vertical="center"/>
    </x:xf>
    <x:xf numFmtId="200" fontId="0" fillId="0" borderId="38" xfId="0" applyNumberFormat="1" applyFont="1" applyFill="1" applyBorder="1" applyAlignment="1">
      <x:alignment vertical="center"/>
    </x:xf>
    <x:xf numFmtId="0" fontId="0" fillId="0" borderId="39" xfId="0" applyNumberFormat="1" applyFont="1" applyFill="1" applyBorder="1" applyAlignment="1">
      <x:alignment vertical="center"/>
    </x:xf>
    <x:xf numFmtId="0" fontId="0" fillId="0" borderId="40" xfId="0" applyNumberFormat="1" applyFont="1" applyFill="1" applyBorder="1" applyAlignment="1">
      <x:alignment vertical="center"/>
    </x:xf>
    <x:xf numFmtId="200" fontId="0" fillId="0" borderId="41" xfId="0" applyNumberFormat="1" applyFont="1" applyFill="1" applyBorder="1" applyAlignment="1">
      <x:alignment vertical="center"/>
    </x:xf>
    <x:xf numFmtId="0" fontId="0" fillId="0" borderId="42" xfId="0" applyNumberFormat="1" applyFont="1" applyFill="1" applyBorder="1" applyAlignment="1">
      <x:alignment vertical="center"/>
    </x:xf>
    <x:xf numFmtId="0" fontId="0" fillId="0" borderId="43" xfId="0" applyNumberFormat="1" applyFont="1" applyFill="1" applyBorder="1" applyAlignment="1">
      <x:alignment vertical="center"/>
    </x:xf>
    <x:xf numFmtId="0" fontId="8" fillId="2" borderId="0" xfId="0" applyNumberFormat="1" applyFont="1" applyFill="1" applyBorder="1" applyAlignment="1">
      <x:alignment horizontal="center" vertical="center"/>
    </x:xf>
    <x:xf numFmtId="0" fontId="3" fillId="12" borderId="0" xfId="0" applyNumberFormat="1" applyFont="1" applyFill="1" applyBorder="1" applyAlignment="1">
      <x:alignment horizontal="center" vertical="center" wrapText="1"/>
    </x:xf>
    <x:xf numFmtId="0" fontId="8" fillId="2" borderId="1" xfId="0" applyNumberFormat="1" applyFont="1" applyFill="1" applyBorder="1" applyAlignment="1">
      <x:alignment horizontal="center" vertical="center"/>
    </x:xf>
    <x:xf numFmtId="0" fontId="3" fillId="12" borderId="1" xfId="0" applyNumberFormat="1" applyFont="1" applyFill="1" applyBorder="1" applyAlignment="1">
      <x:alignment horizontal="center" vertical="center" wrapText="1"/>
    </x:xf>
    <x:xf numFmtId="0" fontId="3" fillId="3" borderId="2" xfId="0" applyNumberFormat="1" applyFont="1" applyFill="1" applyBorder="1" applyAlignment="1">
      <x:alignment vertical="center"/>
    </x:xf>
    <x:xf numFmtId="0" fontId="3" fillId="3" borderId="4" xfId="0" applyNumberFormat="1" applyFont="1" applyFill="1" applyBorder="1" applyAlignment="1">
      <x:alignment vertical="center"/>
    </x:xf>
    <x:xf numFmtId="0" fontId="3" fillId="3" borderId="11" xfId="0" applyNumberFormat="1" applyFont="1" applyFill="1" applyBorder="1" applyAlignment="1">
      <x:alignment vertical="center"/>
    </x:xf>
    <x:xf numFmtId="0" fontId="3" fillId="3" borderId="13" xfId="0" applyNumberFormat="1" applyFont="1" applyFill="1" applyBorder="1" applyAlignment="1">
      <x:alignment vertical="center"/>
    </x:xf>
    <x:xf numFmtId="0" fontId="0" fillId="14" borderId="0" xfId="0" applyNumberFormat="1" applyFont="1" applyFill="1" applyBorder="1" applyAlignment="1">
      <x:alignment vertical="center"/>
    </x:xf>
    <x:xf numFmtId="0" fontId="4" fillId="14" borderId="0" xfId="0" applyNumberFormat="1" applyFont="1" applyFill="1" applyBorder="1" applyAlignment="1">
      <x:alignment vertical="center"/>
    </x:xf>
    <x:xf numFmtId="0" fontId="4" fillId="14" borderId="0" xfId="0" applyNumberFormat="1" applyFont="1" applyFill="1" applyBorder="1" applyAlignment="1">
      <x:alignment horizontal="center" vertical="center"/>
    </x:xf>
    <x:xf numFmtId="0" fontId="0" fillId="14" borderId="1" xfId="0" applyNumberFormat="1" applyFont="1" applyFill="1" applyBorder="1" applyAlignment="1">
      <x:alignment vertical="center"/>
    </x:xf>
    <x:xf numFmtId="0" fontId="4" fillId="14" borderId="1" xfId="0" applyNumberFormat="1" applyFont="1" applyFill="1" applyBorder="1" applyAlignment="1">
      <x:alignment vertical="center"/>
    </x:xf>
    <x:xf numFmtId="0" fontId="4" fillId="14" borderId="1" xfId="0" applyNumberFormat="1" applyFont="1" applyFill="1" applyBorder="1" applyAlignment="1">
      <x:alignment horizontal="center" vertical="center"/>
    </x:xf>
    <x:xf numFmtId="0" fontId="10" fillId="0" borderId="0" xfId="0" applyNumberFormat="1" applyFont="1" applyFill="1" applyBorder="1" applyAlignment="1">
      <x:alignment vertical="center"/>
    </x:xf>
    <x:xf numFmtId="0" fontId="10" fillId="0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DE68A"/>
        </x:patternFill>
      </x:fill>
    </x:dxf>
    <x:dxf>
      <x:font>
        <x:color rgb="DC2626"/>
      </x:font>
      <x:fill>
        <x:patternFill patternType="solid">
          <x:bgColor rgb="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bb6b8ab0d24459d" /><Relationship Type="http://schemas.openxmlformats.org/officeDocument/2006/relationships/theme" Target="/xl/theme/theme1.xml" Id="R038b9244fe3740c6" /><Relationship Type="http://schemas.openxmlformats.org/officeDocument/2006/relationships/sharedStrings" Target="/xl/sharedStrings.xml" Id="Rfd6bc173c94b4fde" /><Relationship Type="http://schemas.openxmlformats.org/officeDocument/2006/relationships/worksheet" Target="/xl/worksheets/sheet1.xml" Id="R9ccace2c2fa047a6" /><Relationship Type="http://schemas.openxmlformats.org/officeDocument/2006/relationships/worksheet" Target="/xl/worksheets/sheet2.xml" Id="R7f316c41aaed453f" /><Relationship Type="http://schemas.openxmlformats.org/officeDocument/2006/relationships/worksheet" Target="/xl/worksheets/sheet3.xml" Id="R2ba88a72cbc64ad4" /><Relationship Type="http://schemas.openxmlformats.org/officeDocument/2006/relationships/worksheet" Target="/xl/worksheets/sheet4.xml" Id="Rc6b77d2cde154820" /><Relationship Type="http://schemas.openxmlformats.org/officeDocument/2006/relationships/worksheet" Target="/xl/worksheets/sheet5.xml" Id="Rbd33bb5d95b14cb9" /><Relationship Type="http://schemas.openxmlformats.org/officeDocument/2006/relationships/worksheet" Target="/xl/worksheets/sheet6.xml" Id="Rdfdb734d846c4f84" /><Relationship Type="http://schemas.openxmlformats.org/officeDocument/2006/relationships/worksheet" Target="/xl/worksheets/sheet7.xml" Id="R9f7ca90590ac4dd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ba770474cd584b22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layout/>
      <c:barChart>
        <c:barDir val="bar"/>
        <c:grouping val="clustered"/>
        <c:varyColors val="0"/>
        <c:ser>
          <c:idx val="0"/>
          <c:order val="0"/>
          <c:tx>
            <c:v>Total Points</c:v>
          </c:tx>
          <c:cat>
            <c:strRef>
              <c:f>'👥 Players'!$A$4:$A$13</c:f>
              <c:strCache>
                <c:ptCount val="0"/>
              </c:strCache>
            </c:strRef>
          </c:cat>
          <c:val>
            <c:numRef>
              <c:f>'👥 Players'!$F$4:$F$13</c:f>
              <c:numCache>
                <c:formatCode/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8</xdr:col>
      <xdr:colOff>0</xdr:colOff>
      <xdr:row>2</xdr:row>
      <xdr:rowOff>0</xdr:rowOff>
    </xdr:from>
    <xdr:to>
      <xdr:col>16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a770474cd584b22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3" name="PlayersTable" displayName="PlayersTable" ref="A3:G13" headerRowCount="1">
  <x:tableColumns count="7">
    <x:tableColumn id="1" name="Player"/>
    <x:tableColumn id="2" name="Team 1"/>
    <x:tableColumn id="3" name="Team 2"/>
    <x:tableColumn id="4" name="Team 1 Pts"/>
    <x:tableColumn id="5" name="Team 2 Pts"/>
    <x:tableColumn id="6" name="Total"/>
    <x:tableColumn id="7" name="Position"/>
  </x:tableColumns>
  <x:tableStyleInfo name="TableStyleMedium2" showRowStripes="1"/>
</x:table>
</file>

<file path=xl/tables/table2.xml><?xml version="1.0" encoding="utf-8"?>
<x:table xmlns:x="http://schemas.openxmlformats.org/spreadsheetml/2006/main" id="2" name="TeamTrackerTable" displayName="TeamTrackerTable" ref="A3:I23" headerRowCount="1">
  <x:tableColumns count="9">
    <x:tableColumn id="1" name="Team"/>
    <x:tableColumn id="2" name="Owner"/>
    <x:tableColumn id="3" name="Group Pts"/>
    <x:tableColumn id="4" name="Knockout Bonus"/>
    <x:tableColumn id="5" name="Total"/>
    <x:tableColumn id="6" name="Status"/>
    <x:tableColumn id="7" name="Notes"/>
    <x:tableColumn id="8" name="Last Updated"/>
    <x:tableColumn id="9" name="Rank"/>
  </x:tableColumns>
  <x:tableStyleInfo name="TableStyleMedium2" showRowStripes="1"/>
</x:table>
</file>

<file path=xl/tables/table3.xml><?xml version="1.0" encoding="utf-8"?>
<x:table xmlns:x="http://schemas.openxmlformats.org/spreadsheetml/2006/main" id="1" name="ResultsTable" displayName="ResultsTable" ref="A3:H23" headerRowCount="1">
  <x:tableColumns count="8">
    <x:tableColumn id="1" name="Team"/>
    <x:tableColumn id="2" name="Group Pts"/>
    <x:tableColumn id="3" name="R16 Bonus"/>
    <x:tableColumn id="4" name="QF Bonus"/>
    <x:tableColumn id="5" name="SF Bonus"/>
    <x:tableColumn id="6" name="Final Bonus"/>
    <x:tableColumn id="7" name="Winner Bonus"/>
    <x:tableColumn id="8" name="Total"/>
  </x:tableColumns>
  <x:tableStyleInfo name="TableStyleMedium2" showRowStripes="1"/>
</x:table>
</file>

<file path=xl/tables/table4.xml><?xml version="1.0" encoding="utf-8"?>
<x:table xmlns:x="http://schemas.openxmlformats.org/spreadsheetml/2006/main" id="4" name="FixturesTable" displayName="FixturesTable" ref="A3:H80" headerRowCount="1">
  <x:tableColumns count="8">
    <x:tableColumn id="1" name="Date"/>
    <x:tableColumn id="2" name="Stage"/>
    <x:tableColumn id="3" name="Team A"/>
    <x:tableColumn id="4" name="Score A"/>
    <x:tableColumn id="5" name="Score B"/>
    <x:tableColumn id="6" name="Team B"/>
    <x:tableColumn id="7" name="Winner"/>
    <x:tableColumn id="8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d6c3791d43b94b7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55751d361d049b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e0cce7e33fd4c4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c703e3aaf0f4b7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c6bb89c2d2f4f56" /></Relationships>
</file>

<file path=xl/worksheets/sheet1.xml><?xml version="1.0" encoding="utf-8"?>
<x:worksheet xmlns:x="http://schemas.openxmlformats.org/spreadsheetml/2006/main">
  <x:sheetFormatPr defaultRowHeight="15"/>
  <x:cols>
    <x:col min="1" max="1" width="4.039999961853027" hidden="0" customWidth="1"/>
    <x:col min="2" max="2" width="4.980000019073486" hidden="0" customWidth="1"/>
    <x:col min="3" max="3" width="12.649999618530273" hidden="0" customWidth="1"/>
    <x:col min="4" max="4" width="5.920000076293945" hidden="0" customWidth="1"/>
    <x:col min="5" max="5" width="8.75" hidden="0" customWidth="1"/>
    <x:col min="6" max="6" width="8.75" hidden="0" customWidth="1"/>
    <x:col min="7" max="7" width="3.9000000953674316" hidden="0" customWidth="1"/>
  </x:cols>
  <x:sheetData>
    <x:row r="1" ht="42" customHeight="1">
      <x:c r="A1" s="124" t="str">
        <x:v>🏆 WORLD CUP WORK SWEEPSTAKE</x:v>
      </x:c>
      <x:c r="B1" s="124"/>
      <x:c r="C1" s="124"/>
      <x:c r="D1" s="124"/>
      <x:c r="E1" s="124"/>
      <x:c r="F1" s="124"/>
      <x:c r="G1" s="124"/>
      <x:c r="H1" s="124"/>
      <x:c r="I1" s="124"/>
      <x:c r="J1" s="124"/>
      <x:c r="K1" s="258"/>
      <x:c r="L1" s="258"/>
      <x:c r="M1" s="258"/>
      <x:c r="N1" s="258"/>
      <x:c r="O1" s="258"/>
      <x:c r="P1" s="258"/>
      <x:c r="Q1" s="258"/>
      <x:c r="R1" s="258"/>
      <x:c r="S1" s="258"/>
      <x:c r="T1" s="258"/>
      <x:c r="U1" s="258"/>
      <x:c r="V1" s="258"/>
      <x:c r="W1" s="258"/>
      <x:c r="X1" s="258"/>
      <x:c r="Y1" s="258"/>
      <x:c r="Z1" s="258"/>
    </x:row>
    <x:row r="2">
      <x:c r="A2" s="258"/>
      <x:c r="B2" s="258"/>
      <x:c r="C2" s="258"/>
      <x:c r="D2" s="258"/>
      <x:c r="E2" s="258"/>
      <x:c r="F2" s="258"/>
      <x:c r="G2" s="258"/>
      <x:c r="H2" s="258"/>
      <x:c r="I2" s="258"/>
      <x:c r="J2" s="258"/>
      <x:c r="K2" s="258"/>
      <x:c r="L2" s="258"/>
      <x:c r="M2" s="258"/>
      <x:c r="N2" s="258"/>
      <x:c r="O2" s="258"/>
      <x:c r="P2" s="258"/>
      <x:c r="Q2" s="258"/>
      <x:c r="R2" s="258"/>
      <x:c r="S2" s="258"/>
      <x:c r="T2" s="258"/>
      <x:c r="U2" s="258"/>
      <x:c r="V2" s="258"/>
      <x:c r="W2" s="258"/>
      <x:c r="X2" s="258"/>
      <x:c r="Y2" s="258"/>
      <x:c r="Z2" s="258"/>
    </x:row>
    <x:row r="3">
      <x:c r="A3" s="259" t="str">
        <x:v>Current Leader</x:v>
      </x:c>
      <x:c r="B3" s="258" t="str"/>
      <x:c r="C3" s="258" t="str"/>
      <x:c r="D3" s="258"/>
      <x:c r="E3" s="259" t="str">
        <x:v>Top Team</x:v>
      </x:c>
      <x:c r="F3" s="258" t="str"/>
      <x:c r="G3" s="258" t="str"/>
      <x:c r="H3" s="258"/>
      <x:c r="I3" s="258"/>
      <x:c r="J3" s="258"/>
      <x:c r="K3" s="258"/>
      <x:c r="L3" s="258"/>
      <x:c r="M3" s="258"/>
      <x:c r="N3" s="258"/>
      <x:c r="O3" s="258"/>
      <x:c r="P3" s="258"/>
      <x:c r="Q3" s="258"/>
      <x:c r="R3" s="258"/>
      <x:c r="S3" s="258"/>
      <x:c r="T3" s="258"/>
      <x:c r="U3" s="258"/>
      <x:c r="V3" s="258"/>
      <x:c r="W3" s="258"/>
      <x:c r="X3" s="258"/>
      <x:c r="Y3" s="258"/>
      <x:c r="Z3" s="258"/>
    </x:row>
    <x:row r="4">
      <x:c r="A4" s="260" t="str">
        <x:v>Player</x:v>
      </x:c>
      <x:c r="B4" s="260" t="str">
        <x:v>Points</x:v>
      </x:c>
      <x:c r="C4" s="260" t="str">
        <x:v>Teams</x:v>
      </x:c>
      <x:c r="D4" s="258"/>
      <x:c r="E4" s="260" t="str">
        <x:v>Team</x:v>
      </x:c>
      <x:c r="F4" s="260" t="str">
        <x:v>Owner</x:v>
      </x:c>
      <x:c r="G4" s="260" t="str">
        <x:v>Points</x:v>
      </x:c>
      <x:c r="H4" s="258"/>
      <x:c r="I4" s="258"/>
      <x:c r="J4" s="258"/>
      <x:c r="K4" s="258"/>
      <x:c r="L4" s="258"/>
      <x:c r="M4" s="258"/>
      <x:c r="N4" s="258"/>
      <x:c r="O4" s="258"/>
      <x:c r="P4" s="258"/>
      <x:c r="Q4" s="258"/>
      <x:c r="R4" s="258"/>
      <x:c r="S4" s="258"/>
      <x:c r="T4" s="258"/>
      <x:c r="U4" s="258"/>
      <x:c r="V4" s="258"/>
      <x:c r="W4" s="258"/>
      <x:c r="X4" s="258"/>
      <x:c r="Y4" s="258"/>
      <x:c r="Z4" s="258"/>
    </x:row>
    <x:row r="5">
      <x:c r="A5" s="258" t="str">
        <x:f>INDEX('👥 Players'!$A$4:$A$13,MATCH(MAX('👥 Players'!$F$4:$F$13),'👥 Players'!$F$4:$F$13,0))</x:f>
        <x:v>Gail</x:v>
      </x:c>
      <x:c r="B5" s="258" t="n">
        <x:f>MAX('👥 Players'!$F$4:$F$13)</x:f>
        <x:v>0</x:v>
      </x:c>
      <x:c r="C5" s="258" t="str">
        <x:f>INDEX('👥 Players'!$B$4:$B$13,MATCH(A5,'👥 Players'!$A$4:$A$13,0))&amp;" / "&amp;INDEX('👥 Players'!$C$4:$C$13,MATCH(A5,'👥 Players'!$A$4:$A$13,0))</x:f>
        <x:v>🇳🇱 Netherlands / 🇮🇷 Iran</x:v>
      </x:c>
      <x:c r="D5" s="258"/>
      <x:c r="E5" s="258" t="str">
        <x:f>INDEX('🌍 Team Tracker'!$A$4:$A$23,MATCH(MAX('🌍 Team Tracker'!$E$4:$E$23),'🌍 Team Tracker'!$E$4:$E$23,0))</x:f>
        <x:v>🇳🇱 Netherlands</x:v>
      </x:c>
      <x:c r="F5" s="258" t="str">
        <x:f>INDEX('🌍 Team Tracker'!$B$4:$B$23,MATCH(E5,'🌍 Team Tracker'!$A$4:$A$23,0))</x:f>
        <x:v>Gail</x:v>
      </x:c>
      <x:c r="G5" s="258" t="n">
        <x:f>MAX('🌍 Team Tracker'!$E$4:$E$23)</x:f>
        <x:v>0</x:v>
      </x:c>
      <x:c r="H5" s="258"/>
      <x:c r="I5" s="258"/>
      <x:c r="J5" s="258"/>
      <x:c r="K5" s="258"/>
      <x:c r="L5" s="258"/>
      <x:c r="M5" s="258"/>
      <x:c r="N5" s="258"/>
      <x:c r="O5" s="258"/>
      <x:c r="P5" s="258"/>
      <x:c r="Q5" s="258"/>
      <x:c r="R5" s="258"/>
      <x:c r="S5" s="258"/>
      <x:c r="T5" s="258"/>
      <x:c r="U5" s="258"/>
      <x:c r="V5" s="258"/>
      <x:c r="W5" s="258"/>
      <x:c r="X5" s="258"/>
      <x:c r="Y5" s="258"/>
      <x:c r="Z5" s="258"/>
    </x:row>
    <x:row r="6">
      <x:c r="A6" s="258"/>
      <x:c r="B6" s="258"/>
      <x:c r="C6" s="258"/>
      <x:c r="D6" s="258"/>
      <x:c r="E6" s="258"/>
      <x:c r="F6" s="258"/>
      <x:c r="G6" s="258"/>
      <x:c r="H6" s="258"/>
      <x:c r="I6" s="258"/>
      <x:c r="J6" s="258"/>
      <x:c r="K6" s="258"/>
      <x:c r="L6" s="258"/>
      <x:c r="M6" s="258"/>
      <x:c r="N6" s="258"/>
      <x:c r="O6" s="258"/>
      <x:c r="P6" s="258"/>
      <x:c r="Q6" s="258"/>
      <x:c r="R6" s="258"/>
      <x:c r="S6" s="258"/>
      <x:c r="T6" s="258"/>
      <x:c r="U6" s="258"/>
      <x:c r="V6" s="258"/>
      <x:c r="W6" s="258"/>
      <x:c r="X6" s="258"/>
      <x:c r="Y6" s="258"/>
      <x:c r="Z6" s="258"/>
    </x:row>
    <x:row r="7">
      <x:c r="A7" s="258"/>
      <x:c r="B7" s="258"/>
      <x:c r="C7" s="258"/>
      <x:c r="D7" s="258"/>
      <x:c r="E7" s="258"/>
      <x:c r="F7" s="258"/>
      <x:c r="G7" s="258"/>
      <x:c r="H7" s="258"/>
      <x:c r="I7" s="258"/>
      <x:c r="J7" s="258"/>
      <x:c r="K7" s="258"/>
      <x:c r="L7" s="258"/>
      <x:c r="M7" s="258"/>
      <x:c r="N7" s="258"/>
      <x:c r="O7" s="258"/>
      <x:c r="P7" s="258"/>
      <x:c r="Q7" s="258"/>
      <x:c r="R7" s="258"/>
      <x:c r="S7" s="258"/>
      <x:c r="T7" s="258"/>
      <x:c r="U7" s="258"/>
      <x:c r="V7" s="258"/>
      <x:c r="W7" s="258"/>
      <x:c r="X7" s="258"/>
      <x:c r="Y7" s="258"/>
      <x:c r="Z7" s="258"/>
    </x:row>
    <x:row r="8">
      <x:c r="A8" s="261" t="str">
        <x:v>Rank</x:v>
      </x:c>
      <x:c r="B8" s="262" t="str">
        <x:v>Player</x:v>
      </x:c>
      <x:c r="C8" s="262" t="str">
        <x:v>Team 1</x:v>
      </x:c>
      <x:c r="D8" s="262" t="str">
        <x:v>Team 2</x:v>
      </x:c>
      <x:c r="E8" s="262" t="str">
        <x:v>Team 1 Pts</x:v>
      </x:c>
      <x:c r="F8" s="262" t="str">
        <x:v>Team 2 Pts</x:v>
      </x:c>
      <x:c r="G8" s="263" t="str">
        <x:v>Total</x:v>
      </x:c>
      <x:c r="H8" s="258"/>
      <x:c r="I8" s="258"/>
      <x:c r="J8" s="258"/>
      <x:c r="K8" s="258"/>
      <x:c r="L8" s="258"/>
      <x:c r="M8" s="258"/>
      <x:c r="N8" s="258"/>
      <x:c r="O8" s="258"/>
      <x:c r="P8" s="258"/>
      <x:c r="Q8" s="258"/>
      <x:c r="R8" s="258"/>
      <x:c r="S8" s="258"/>
      <x:c r="T8" s="258"/>
      <x:c r="U8" s="258"/>
      <x:c r="V8" s="258"/>
      <x:c r="W8" s="258"/>
      <x:c r="X8" s="258"/>
      <x:c r="Y8" s="258"/>
      <x:c r="Z8" s="258"/>
    </x:row>
    <x:row r="9">
      <x:c r="A9" s="264" t="n">
        <x:f>1</x:f>
        <x:v>1</x:v>
      </x:c>
      <x:c r="B9" s="265" t="str">
        <x:f>INDEX('👥 Players'!$A$4:$A$13,MATCH(A9,'👥 Players'!$H$4:$H$13,0))</x:f>
        <x:v>Gail</x:v>
      </x:c>
      <x:c r="C9" s="265" t="str">
        <x:f>INDEX('👥 Players'!$B$4:$B$13,MATCH(B9,'👥 Players'!$A$4:$A$13,0))</x:f>
        <x:v>🇳🇱 Netherlands</x:v>
      </x:c>
      <x:c r="D9" s="265" t="str">
        <x:f>INDEX('👥 Players'!$C$4:$C$13,MATCH(B9,'👥 Players'!$A$4:$A$13,0))</x:f>
        <x:v>🇮🇷 Iran</x:v>
      </x:c>
      <x:c r="E9" s="265" t="n">
        <x:f>INDEX('👥 Players'!$D$4:$D$13,MATCH(B9,'👥 Players'!$A$4:$A$13,0))</x:f>
        <x:v>0</x:v>
      </x:c>
      <x:c r="F9" s="265" t="n">
        <x:f>INDEX('👥 Players'!$E$4:$E$13,MATCH(B9,'👥 Players'!$A$4:$A$13,0))</x:f>
        <x:v>0</x:v>
      </x:c>
      <x:c r="G9" s="266" t="n">
        <x:f>INDEX('👥 Players'!$F$4:$F$13,MATCH(B9,'👥 Players'!$A$4:$A$13,0))</x:f>
        <x:v>0</x:v>
      </x:c>
      <x:c r="H9" s="258"/>
      <x:c r="I9" s="258"/>
      <x:c r="J9" s="258"/>
      <x:c r="K9" s="258"/>
      <x:c r="L9" s="258"/>
      <x:c r="M9" s="258"/>
      <x:c r="N9" s="258"/>
      <x:c r="O9" s="258"/>
      <x:c r="P9" s="258"/>
      <x:c r="Q9" s="258"/>
      <x:c r="R9" s="258"/>
      <x:c r="S9" s="258"/>
      <x:c r="T9" s="258"/>
      <x:c r="U9" s="258"/>
      <x:c r="V9" s="258"/>
      <x:c r="W9" s="258"/>
      <x:c r="X9" s="258"/>
      <x:c r="Y9" s="258"/>
      <x:c r="Z9" s="258"/>
    </x:row>
    <x:row r="10">
      <x:c r="A10" s="264" t="n">
        <x:f>2</x:f>
        <x:v>2</x:v>
      </x:c>
      <x:c r="B10" s="265" t="str">
        <x:f>INDEX('👥 Players'!$A$4:$A$13,MATCH(A10,'👥 Players'!$H$4:$H$13,0))</x:f>
        <x:v>Pas</x:v>
      </x:c>
      <x:c r="C10" s="265" t="str">
        <x:f>INDEX('👥 Players'!$B$4:$B$13,MATCH(B10,'👥 Players'!$A$4:$A$13,0))</x:f>
        <x:v>🇧🇷 Brazil</x:v>
      </x:c>
      <x:c r="D10" s="265" t="str">
        <x:f>INDEX('👥 Players'!$C$4:$C$13,MATCH(B10,'👥 Players'!$A$4:$A$13,0))</x:f>
        <x:v>🇦🇹 Austria</x:v>
      </x:c>
      <x:c r="E10" s="265" t="n">
        <x:f>INDEX('👥 Players'!$D$4:$D$13,MATCH(B10,'👥 Players'!$A$4:$A$13,0))</x:f>
        <x:v>0</x:v>
      </x:c>
      <x:c r="F10" s="265" t="n">
        <x:f>INDEX('👥 Players'!$E$4:$E$13,MATCH(B10,'👥 Players'!$A$4:$A$13,0))</x:f>
        <x:v>0</x:v>
      </x:c>
      <x:c r="G10" s="266" t="n">
        <x:f>INDEX('👥 Players'!$F$4:$F$13,MATCH(B10,'👥 Players'!$A$4:$A$13,0))</x:f>
        <x:v>0</x:v>
      </x:c>
      <x:c r="H10" s="258"/>
      <x:c r="I10" s="258"/>
      <x:c r="J10" s="258"/>
      <x:c r="K10" s="258"/>
      <x:c r="L10" s="258"/>
      <x:c r="M10" s="258"/>
      <x:c r="N10" s="258"/>
      <x:c r="O10" s="258"/>
      <x:c r="P10" s="258"/>
      <x:c r="Q10" s="258"/>
      <x:c r="R10" s="258"/>
      <x:c r="S10" s="258"/>
      <x:c r="T10" s="258"/>
      <x:c r="U10" s="258"/>
      <x:c r="V10" s="258"/>
      <x:c r="W10" s="258"/>
      <x:c r="X10" s="258"/>
      <x:c r="Y10" s="258"/>
      <x:c r="Z10" s="258"/>
    </x:row>
    <x:row r="11">
      <x:c r="A11" s="264" t="n">
        <x:f>3</x:f>
        <x:v>3</x:v>
      </x:c>
      <x:c r="B11" s="265" t="str">
        <x:f>INDEX('👥 Players'!$A$4:$A$13,MATCH(A11,'👥 Players'!$H$4:$H$13,0))</x:f>
        <x:v>Jack</x:v>
      </x:c>
      <x:c r="C11" s="265" t="str">
        <x:f>INDEX('👥 Players'!$B$4:$B$13,MATCH(B11,'👥 Players'!$A$4:$A$13,0))</x:f>
        <x:v>🇩🇪 Germany</x:v>
      </x:c>
      <x:c r="D11" s="265" t="str">
        <x:f>INDEX('👥 Players'!$C$4:$C$13,MATCH(B11,'👥 Players'!$A$4:$A$13,0))</x:f>
        <x:v>🇲🇽 Mexico</x:v>
      </x:c>
      <x:c r="E11" s="265" t="n">
        <x:f>INDEX('👥 Players'!$D$4:$D$13,MATCH(B11,'👥 Players'!$A$4:$A$13,0))</x:f>
        <x:v>0</x:v>
      </x:c>
      <x:c r="F11" s="265" t="n">
        <x:f>INDEX('👥 Players'!$E$4:$E$13,MATCH(B11,'👥 Players'!$A$4:$A$13,0))</x:f>
        <x:v>0</x:v>
      </x:c>
      <x:c r="G11" s="266" t="n">
        <x:f>INDEX('👥 Players'!$F$4:$F$13,MATCH(B11,'👥 Players'!$A$4:$A$13,0))</x:f>
        <x:v>0</x:v>
      </x:c>
      <x:c r="H11" s="258"/>
      <x:c r="I11" s="258"/>
      <x:c r="J11" s="258"/>
      <x:c r="K11" s="258"/>
      <x:c r="L11" s="258"/>
      <x:c r="M11" s="258"/>
      <x:c r="N11" s="258"/>
      <x:c r="O11" s="258"/>
      <x:c r="P11" s="258"/>
      <x:c r="Q11" s="258"/>
      <x:c r="R11" s="258"/>
      <x:c r="S11" s="258"/>
      <x:c r="T11" s="258"/>
      <x:c r="U11" s="258"/>
      <x:c r="V11" s="258"/>
      <x:c r="W11" s="258"/>
      <x:c r="X11" s="258"/>
      <x:c r="Y11" s="258"/>
      <x:c r="Z11" s="258"/>
    </x:row>
    <x:row r="12">
      <x:c r="A12" s="267" t="n">
        <x:f>4</x:f>
        <x:v>4</x:v>
      </x:c>
      <x:c r="B12" s="265" t="str">
        <x:f>INDEX('👥 Players'!$A$4:$A$13,MATCH(A12,'👥 Players'!$H$4:$H$13,0))</x:f>
        <x:v>Billy</x:v>
      </x:c>
      <x:c r="C12" s="265" t="str">
        <x:f>INDEX('👥 Players'!$B$4:$B$13,MATCH(B12,'👥 Players'!$A$4:$A$13,0))</x:f>
        <x:v>🇵🇹 Portugal</x:v>
      </x:c>
      <x:c r="D12" s="265" t="str">
        <x:f>INDEX('👥 Players'!$C$4:$C$13,MATCH(B12,'👥 Players'!$A$4:$A$13,0))</x:f>
        <x:v>🇨🇭 Switzerland</x:v>
      </x:c>
      <x:c r="E12" s="265" t="n">
        <x:f>INDEX('👥 Players'!$D$4:$D$13,MATCH(B12,'👥 Players'!$A$4:$A$13,0))</x:f>
        <x:v>0</x:v>
      </x:c>
      <x:c r="F12" s="265" t="n">
        <x:f>INDEX('👥 Players'!$E$4:$E$13,MATCH(B12,'👥 Players'!$A$4:$A$13,0))</x:f>
        <x:v>0</x:v>
      </x:c>
      <x:c r="G12" s="266" t="n">
        <x:f>INDEX('👥 Players'!$F$4:$F$13,MATCH(B12,'👥 Players'!$A$4:$A$13,0))</x:f>
        <x:v>0</x:v>
      </x:c>
      <x:c r="H12" s="258"/>
      <x:c r="I12" s="258"/>
      <x:c r="J12" s="258"/>
      <x:c r="K12" s="258"/>
      <x:c r="L12" s="258"/>
      <x:c r="M12" s="258"/>
      <x:c r="N12" s="258"/>
      <x:c r="O12" s="258"/>
      <x:c r="P12" s="258"/>
      <x:c r="Q12" s="258"/>
      <x:c r="R12" s="258"/>
      <x:c r="S12" s="258"/>
      <x:c r="T12" s="258"/>
      <x:c r="U12" s="258"/>
      <x:c r="V12" s="258"/>
      <x:c r="W12" s="258"/>
      <x:c r="X12" s="258"/>
      <x:c r="Y12" s="258"/>
      <x:c r="Z12" s="258"/>
    </x:row>
    <x:row r="13">
      <x:c r="A13" s="267" t="n">
        <x:f>5</x:f>
        <x:v>5</x:v>
      </x:c>
      <x:c r="B13" s="265" t="str">
        <x:f>INDEX('👥 Players'!$A$4:$A$13,MATCH(A13,'👥 Players'!$H$4:$H$13,0))</x:f>
        <x:v>Josh</x:v>
      </x:c>
      <x:c r="C13" s="265" t="str">
        <x:f>INDEX('👥 Players'!$B$4:$B$13,MATCH(B13,'👥 Players'!$A$4:$A$13,0))</x:f>
        <x:v>🇧🇪 Belgium</x:v>
      </x:c>
      <x:c r="D13" s="265" t="str">
        <x:f>INDEX('👥 Players'!$C$4:$C$13,MATCH(B13,'👥 Players'!$A$4:$A$13,0))</x:f>
        <x:v>🇳🇴 Norway</x:v>
      </x:c>
      <x:c r="E13" s="265" t="n">
        <x:f>INDEX('👥 Players'!$D$4:$D$13,MATCH(B13,'👥 Players'!$A$4:$A$13,0))</x:f>
        <x:v>0</x:v>
      </x:c>
      <x:c r="F13" s="265" t="n">
        <x:f>INDEX('👥 Players'!$E$4:$E$13,MATCH(B13,'👥 Players'!$A$4:$A$13,0))</x:f>
        <x:v>0</x:v>
      </x:c>
      <x:c r="G13" s="266" t="n">
        <x:f>INDEX('👥 Players'!$F$4:$F$13,MATCH(B13,'👥 Players'!$A$4:$A$13,0))</x:f>
        <x:v>0</x:v>
      </x:c>
      <x:c r="H13" s="258"/>
      <x:c r="I13" s="258"/>
      <x:c r="J13" s="258"/>
      <x:c r="K13" s="258"/>
      <x:c r="L13" s="258"/>
      <x:c r="M13" s="258"/>
      <x:c r="N13" s="258"/>
      <x:c r="O13" s="258"/>
      <x:c r="P13" s="258"/>
      <x:c r="Q13" s="258"/>
      <x:c r="R13" s="258"/>
      <x:c r="S13" s="258"/>
      <x:c r="T13" s="258"/>
      <x:c r="U13" s="258"/>
      <x:c r="V13" s="258"/>
      <x:c r="W13" s="258"/>
      <x:c r="X13" s="258"/>
      <x:c r="Y13" s="258"/>
      <x:c r="Z13" s="258"/>
    </x:row>
    <x:row r="14">
      <x:c r="A14" s="267" t="n">
        <x:f>6</x:f>
        <x:v>6</x:v>
      </x:c>
      <x:c r="B14" s="265" t="str">
        <x:f>INDEX('👥 Players'!$A$4:$A$13,MATCH(A14,'👥 Players'!$H$4:$H$13,0))</x:f>
        <x:v>Kathryn</x:v>
      </x:c>
      <x:c r="C14" s="265" t="str">
        <x:f>INDEX('👥 Players'!$B$4:$B$13,MATCH(B14,'👥 Players'!$A$4:$A$13,0))</x:f>
        <x:v>🏴 England</x:v>
      </x:c>
      <x:c r="D14" s="265" t="str">
        <x:f>INDEX('👥 Players'!$C$4:$C$13,MATCH(B14,'👥 Players'!$A$4:$A$13,0))</x:f>
        <x:v>🇯🇵 Japan</x:v>
      </x:c>
      <x:c r="E14" s="265" t="n">
        <x:f>INDEX('👥 Players'!$D$4:$D$13,MATCH(B14,'👥 Players'!$A$4:$A$13,0))</x:f>
        <x:v>0</x:v>
      </x:c>
      <x:c r="F14" s="265" t="n">
        <x:f>INDEX('👥 Players'!$E$4:$E$13,MATCH(B14,'👥 Players'!$A$4:$A$13,0))</x:f>
        <x:v>0</x:v>
      </x:c>
      <x:c r="G14" s="266" t="n">
        <x:f>INDEX('👥 Players'!$F$4:$F$13,MATCH(B14,'👥 Players'!$A$4:$A$13,0))</x:f>
        <x:v>0</x:v>
      </x:c>
      <x:c r="H14" s="258"/>
      <x:c r="I14" s="258"/>
      <x:c r="J14" s="258"/>
      <x:c r="K14" s="258"/>
      <x:c r="L14" s="258"/>
      <x:c r="M14" s="258"/>
      <x:c r="N14" s="258"/>
      <x:c r="O14" s="258"/>
      <x:c r="P14" s="258"/>
      <x:c r="Q14" s="258"/>
      <x:c r="R14" s="258"/>
      <x:c r="S14" s="258"/>
      <x:c r="T14" s="258"/>
      <x:c r="U14" s="258"/>
      <x:c r="V14" s="258"/>
      <x:c r="W14" s="258"/>
      <x:c r="X14" s="258"/>
      <x:c r="Y14" s="258"/>
      <x:c r="Z14" s="258"/>
    </x:row>
    <x:row r="15">
      <x:c r="A15" s="267" t="n">
        <x:f>7</x:f>
        <x:v>7</x:v>
      </x:c>
      <x:c r="B15" s="265" t="str">
        <x:f>INDEX('👥 Players'!$A$4:$A$13,MATCH(A15,'👥 Players'!$H$4:$H$13,0))</x:f>
        <x:v>Joanne</x:v>
      </x:c>
      <x:c r="C15" s="265" t="str">
        <x:f>INDEX('👥 Players'!$B$4:$B$13,MATCH(B15,'👥 Players'!$A$4:$A$13,0))</x:f>
        <x:v>🇭🇷 Croatia</x:v>
      </x:c>
      <x:c r="D15" s="265" t="str">
        <x:f>INDEX('👥 Players'!$C$4:$C$13,MATCH(B15,'👥 Players'!$A$4:$A$13,0))</x:f>
        <x:v>🇵🇾 Paraguay</x:v>
      </x:c>
      <x:c r="E15" s="265" t="n">
        <x:f>INDEX('👥 Players'!$D$4:$D$13,MATCH(B15,'👥 Players'!$A$4:$A$13,0))</x:f>
        <x:v>0</x:v>
      </x:c>
      <x:c r="F15" s="265" t="n">
        <x:f>INDEX('👥 Players'!$E$4:$E$13,MATCH(B15,'👥 Players'!$A$4:$A$13,0))</x:f>
        <x:v>0</x:v>
      </x:c>
      <x:c r="G15" s="266" t="n">
        <x:f>INDEX('👥 Players'!$F$4:$F$13,MATCH(B15,'👥 Players'!$A$4:$A$13,0))</x:f>
        <x:v>0</x:v>
      </x:c>
      <x:c r="H15" s="258"/>
      <x:c r="I15" s="258"/>
      <x:c r="J15" s="258"/>
      <x:c r="K15" s="258"/>
      <x:c r="L15" s="258"/>
      <x:c r="M15" s="258"/>
      <x:c r="N15" s="258"/>
      <x:c r="O15" s="258"/>
      <x:c r="P15" s="258"/>
      <x:c r="Q15" s="258"/>
      <x:c r="R15" s="258"/>
      <x:c r="S15" s="258"/>
      <x:c r="T15" s="258"/>
      <x:c r="U15" s="258"/>
      <x:c r="V15" s="258"/>
      <x:c r="W15" s="258"/>
      <x:c r="X15" s="258"/>
      <x:c r="Y15" s="258"/>
      <x:c r="Z15" s="258"/>
    </x:row>
    <x:row r="16">
      <x:c r="A16" s="267" t="n">
        <x:f>8</x:f>
        <x:v>8</x:v>
      </x:c>
      <x:c r="B16" s="265" t="str">
        <x:f>INDEX('👥 Players'!$A$4:$A$13,MATCH(A16,'👥 Players'!$H$4:$H$13,0))</x:f>
        <x:v>Neil</x:v>
      </x:c>
      <x:c r="C16" s="265" t="str">
        <x:f>INDEX('👥 Players'!$B$4:$B$13,MATCH(B16,'👥 Players'!$A$4:$A$13,0))</x:f>
        <x:v>🇲🇦 Morocco</x:v>
      </x:c>
      <x:c r="D16" s="265" t="str">
        <x:f>INDEX('👥 Players'!$C$4:$C$13,MATCH(B16,'👥 Players'!$A$4:$A$13,0))</x:f>
        <x:v>🇺🇸 United States</x:v>
      </x:c>
      <x:c r="E16" s="265" t="n">
        <x:f>INDEX('👥 Players'!$D$4:$D$13,MATCH(B16,'👥 Players'!$A$4:$A$13,0))</x:f>
        <x:v>0</x:v>
      </x:c>
      <x:c r="F16" s="265" t="n">
        <x:f>INDEX('👥 Players'!$E$4:$E$13,MATCH(B16,'👥 Players'!$A$4:$A$13,0))</x:f>
        <x:v>0</x:v>
      </x:c>
      <x:c r="G16" s="266" t="n">
        <x:f>INDEX('👥 Players'!$F$4:$F$13,MATCH(B16,'👥 Players'!$A$4:$A$13,0))</x:f>
        <x:v>0</x:v>
      </x:c>
      <x:c r="H16" s="258"/>
      <x:c r="I16" s="258"/>
      <x:c r="J16" s="258"/>
      <x:c r="K16" s="258"/>
      <x:c r="L16" s="258"/>
      <x:c r="M16" s="258"/>
      <x:c r="N16" s="258"/>
      <x:c r="O16" s="258"/>
      <x:c r="P16" s="258"/>
      <x:c r="Q16" s="258"/>
      <x:c r="R16" s="258"/>
      <x:c r="S16" s="258"/>
      <x:c r="T16" s="258"/>
      <x:c r="U16" s="258"/>
      <x:c r="V16" s="258"/>
      <x:c r="W16" s="258"/>
      <x:c r="X16" s="258"/>
      <x:c r="Y16" s="258"/>
      <x:c r="Z16" s="258"/>
    </x:row>
    <x:row r="17">
      <x:c r="A17" s="267" t="n">
        <x:f>9</x:f>
        <x:v>9</x:v>
      </x:c>
      <x:c r="B17" s="265" t="str">
        <x:f>INDEX('👥 Players'!$A$4:$A$13,MATCH(A17,'👥 Players'!$H$4:$H$13,0))</x:f>
        <x:v>Hayley</x:v>
      </x:c>
      <x:c r="C17" s="265" t="str">
        <x:f>INDEX('👥 Players'!$B$4:$B$13,MATCH(B17,'👥 Players'!$A$4:$A$13,0))</x:f>
        <x:v>🇨🇴 Colombia</x:v>
      </x:c>
      <x:c r="D17" s="265" t="str">
        <x:f>INDEX('👥 Players'!$C$4:$C$13,MATCH(B17,'👥 Players'!$A$4:$A$13,0))</x:f>
        <x:v>🇹🇷 Türkiye</x:v>
      </x:c>
      <x:c r="E17" s="265" t="n">
        <x:f>INDEX('👥 Players'!$D$4:$D$13,MATCH(B17,'👥 Players'!$A$4:$A$13,0))</x:f>
        <x:v>0</x:v>
      </x:c>
      <x:c r="F17" s="265" t="n">
        <x:f>INDEX('👥 Players'!$E$4:$E$13,MATCH(B17,'👥 Players'!$A$4:$A$13,0))</x:f>
        <x:v>0</x:v>
      </x:c>
      <x:c r="G17" s="266" t="n">
        <x:f>INDEX('👥 Players'!$F$4:$F$13,MATCH(B17,'👥 Players'!$A$4:$A$13,0))</x:f>
        <x:v>0</x:v>
      </x:c>
      <x:c r="H17" s="258"/>
      <x:c r="I17" s="258"/>
      <x:c r="J17" s="258"/>
      <x:c r="K17" s="258"/>
      <x:c r="L17" s="258"/>
      <x:c r="M17" s="258"/>
      <x:c r="N17" s="258"/>
      <x:c r="O17" s="258"/>
      <x:c r="P17" s="258"/>
      <x:c r="Q17" s="258"/>
      <x:c r="R17" s="258"/>
      <x:c r="S17" s="258"/>
      <x:c r="T17" s="258"/>
      <x:c r="U17" s="258"/>
      <x:c r="V17" s="258"/>
      <x:c r="W17" s="258"/>
      <x:c r="X17" s="258"/>
      <x:c r="Y17" s="258"/>
      <x:c r="Z17" s="258"/>
    </x:row>
    <x:row r="18">
      <x:c r="A18" s="268" t="n">
        <x:f>10</x:f>
        <x:v>10</x:v>
      </x:c>
      <x:c r="B18" s="269" t="str">
        <x:f>INDEX('👥 Players'!$A$4:$A$13,MATCH(A18,'👥 Players'!$H$4:$H$13,0))</x:f>
        <x:v>Becca</x:v>
      </x:c>
      <x:c r="C18" s="269" t="str">
        <x:f>INDEX('👥 Players'!$B$4:$B$13,MATCH(B18,'👥 Players'!$A$4:$A$13,0))</x:f>
        <x:v>🇸🇳 Senegal</x:v>
      </x:c>
      <x:c r="D18" s="269" t="str">
        <x:f>INDEX('👥 Players'!$C$4:$C$13,MATCH(B18,'👥 Players'!$A$4:$A$13,0))</x:f>
        <x:v>🇺🇾 Uruguay</x:v>
      </x:c>
      <x:c r="E18" s="269" t="n">
        <x:f>INDEX('👥 Players'!$D$4:$D$13,MATCH(B18,'👥 Players'!$A$4:$A$13,0))</x:f>
        <x:v>0</x:v>
      </x:c>
      <x:c r="F18" s="269" t="n">
        <x:f>INDEX('👥 Players'!$E$4:$E$13,MATCH(B18,'👥 Players'!$A$4:$A$13,0))</x:f>
        <x:v>0</x:v>
      </x:c>
      <x:c r="G18" s="270" t="n">
        <x:f>INDEX('👥 Players'!$F$4:$F$13,MATCH(B18,'👥 Players'!$A$4:$A$13,0))</x:f>
        <x:v>0</x:v>
      </x:c>
      <x:c r="H18" s="258"/>
      <x:c r="I18" s="258"/>
      <x:c r="J18" s="258"/>
      <x:c r="K18" s="258"/>
      <x:c r="L18" s="258"/>
      <x:c r="M18" s="258"/>
      <x:c r="N18" s="258"/>
      <x:c r="O18" s="258"/>
      <x:c r="P18" s="258"/>
      <x:c r="Q18" s="258"/>
      <x:c r="R18" s="258"/>
      <x:c r="S18" s="258"/>
      <x:c r="T18" s="258"/>
      <x:c r="U18" s="258"/>
      <x:c r="V18" s="258"/>
      <x:c r="W18" s="258"/>
      <x:c r="X18" s="258"/>
      <x:c r="Y18" s="258"/>
      <x:c r="Z18" s="258"/>
    </x:row>
    <x:row r="19">
      <x:c r="A19" s="258"/>
      <x:c r="B19" s="258"/>
      <x:c r="C19" s="258"/>
      <x:c r="D19" s="258"/>
      <x:c r="E19" s="258"/>
      <x:c r="F19" s="258"/>
      <x:c r="G19" s="258"/>
      <x:c r="H19" s="258"/>
      <x:c r="I19" s="258"/>
      <x:c r="J19" s="258"/>
      <x:c r="K19" s="258"/>
      <x:c r="L19" s="258"/>
      <x:c r="M19" s="258"/>
      <x:c r="N19" s="258"/>
      <x:c r="O19" s="258"/>
      <x:c r="P19" s="258"/>
      <x:c r="Q19" s="258"/>
      <x:c r="R19" s="258"/>
      <x:c r="S19" s="258"/>
      <x:c r="T19" s="258"/>
      <x:c r="U19" s="258"/>
      <x:c r="V19" s="258"/>
      <x:c r="W19" s="258"/>
      <x:c r="X19" s="258"/>
      <x:c r="Y19" s="258"/>
      <x:c r="Z19" s="258"/>
    </x:row>
    <x:row r="20">
      <x:c r="A20" s="258"/>
      <x:c r="B20" s="258"/>
      <x:c r="C20" s="258"/>
      <x:c r="D20" s="258"/>
      <x:c r="E20" s="258"/>
      <x:c r="F20" s="258"/>
      <x:c r="G20" s="258"/>
      <x:c r="H20" s="258"/>
      <x:c r="I20" s="258"/>
      <x:c r="J20" s="258"/>
      <x:c r="K20" s="258"/>
      <x:c r="L20" s="258"/>
      <x:c r="M20" s="258"/>
      <x:c r="N20" s="258"/>
      <x:c r="O20" s="258"/>
      <x:c r="P20" s="258"/>
      <x:c r="Q20" s="258"/>
      <x:c r="R20" s="258"/>
      <x:c r="S20" s="258"/>
      <x:c r="T20" s="258"/>
      <x:c r="U20" s="258"/>
      <x:c r="V20" s="258"/>
      <x:c r="W20" s="258"/>
      <x:c r="X20" s="258"/>
      <x:c r="Y20" s="258"/>
      <x:c r="Z20" s="258"/>
    </x:row>
    <x:row r="21">
      <x:c r="A21" s="258"/>
      <x:c r="B21" s="258"/>
      <x:c r="C21" s="258"/>
      <x:c r="D21" s="258"/>
      <x:c r="E21" s="258"/>
      <x:c r="F21" s="258"/>
      <x:c r="G21" s="258"/>
      <x:c r="H21" s="258"/>
      <x:c r="I21" s="258"/>
      <x:c r="J21" s="258"/>
      <x:c r="K21" s="258"/>
      <x:c r="L21" s="258"/>
      <x:c r="M21" s="258"/>
      <x:c r="N21" s="258"/>
      <x:c r="O21" s="258"/>
      <x:c r="P21" s="258"/>
      <x:c r="Q21" s="258"/>
      <x:c r="R21" s="258"/>
      <x:c r="S21" s="258"/>
      <x:c r="T21" s="258"/>
      <x:c r="U21" s="258"/>
      <x:c r="V21" s="258"/>
      <x:c r="W21" s="258"/>
      <x:c r="X21" s="258"/>
      <x:c r="Y21" s="258"/>
      <x:c r="Z21" s="258"/>
    </x:row>
    <x:row r="22">
      <x:c r="A22" s="258"/>
      <x:c r="B22" s="258"/>
      <x:c r="C22" s="258"/>
      <x:c r="D22" s="258"/>
      <x:c r="E22" s="258"/>
      <x:c r="F22" s="258"/>
      <x:c r="G22" s="258"/>
      <x:c r="H22" s="258"/>
      <x:c r="I22" s="258"/>
      <x:c r="J22" s="258"/>
      <x:c r="K22" s="258"/>
      <x:c r="L22" s="258"/>
      <x:c r="M22" s="258"/>
      <x:c r="N22" s="258"/>
      <x:c r="O22" s="258"/>
      <x:c r="P22" s="258"/>
      <x:c r="Q22" s="258"/>
      <x:c r="R22" s="258"/>
      <x:c r="S22" s="258"/>
      <x:c r="T22" s="258"/>
      <x:c r="U22" s="258"/>
      <x:c r="V22" s="258"/>
      <x:c r="W22" s="258"/>
      <x:c r="X22" s="258"/>
      <x:c r="Y22" s="258"/>
      <x:c r="Z22" s="258"/>
    </x:row>
    <x:row r="23">
      <x:c r="A23" s="258"/>
      <x:c r="B23" s="258"/>
      <x:c r="C23" s="258"/>
      <x:c r="D23" s="258"/>
      <x:c r="E23" s="258"/>
      <x:c r="F23" s="258"/>
      <x:c r="G23" s="258"/>
      <x:c r="H23" s="258"/>
      <x:c r="I23" s="258"/>
      <x:c r="J23" s="258"/>
      <x:c r="K23" s="258"/>
      <x:c r="L23" s="258"/>
      <x:c r="M23" s="258"/>
      <x:c r="N23" s="258"/>
      <x:c r="O23" s="258"/>
      <x:c r="P23" s="258"/>
      <x:c r="Q23" s="258"/>
      <x:c r="R23" s="258"/>
      <x:c r="S23" s="258"/>
      <x:c r="T23" s="258"/>
      <x:c r="U23" s="258"/>
      <x:c r="V23" s="258"/>
      <x:c r="W23" s="258"/>
      <x:c r="X23" s="258"/>
      <x:c r="Y23" s="258"/>
      <x:c r="Z23" s="258"/>
    </x:row>
    <x:row r="24">
      <x:c r="A24" s="258"/>
      <x:c r="B24" s="258"/>
      <x:c r="C24" s="258"/>
      <x:c r="D24" s="258"/>
      <x:c r="E24" s="258"/>
      <x:c r="F24" s="258"/>
      <x:c r="G24" s="258"/>
      <x:c r="H24" s="258"/>
      <x:c r="I24" s="258"/>
      <x:c r="J24" s="258"/>
      <x:c r="K24" s="258"/>
      <x:c r="L24" s="258"/>
      <x:c r="M24" s="258"/>
      <x:c r="N24" s="258"/>
      <x:c r="O24" s="258"/>
      <x:c r="P24" s="258"/>
      <x:c r="Q24" s="258"/>
      <x:c r="R24" s="258"/>
      <x:c r="S24" s="258"/>
      <x:c r="T24" s="258"/>
      <x:c r="U24" s="258"/>
      <x:c r="V24" s="258"/>
      <x:c r="W24" s="258"/>
      <x:c r="X24" s="258"/>
      <x:c r="Y24" s="258"/>
      <x:c r="Z24" s="258"/>
    </x:row>
    <x:row r="25">
      <x:c r="A25" s="258"/>
      <x:c r="B25" s="258"/>
      <x:c r="C25" s="258"/>
      <x:c r="D25" s="258"/>
      <x:c r="E25" s="258"/>
      <x:c r="F25" s="258"/>
      <x:c r="G25" s="258"/>
      <x:c r="H25" s="258"/>
      <x:c r="I25" s="258"/>
      <x:c r="J25" s="258"/>
      <x:c r="K25" s="258"/>
      <x:c r="L25" s="258"/>
      <x:c r="M25" s="258"/>
      <x:c r="N25" s="258"/>
      <x:c r="O25" s="258"/>
      <x:c r="P25" s="258"/>
      <x:c r="Q25" s="258"/>
      <x:c r="R25" s="258"/>
      <x:c r="S25" s="258"/>
      <x:c r="T25" s="258"/>
      <x:c r="U25" s="258"/>
      <x:c r="V25" s="258"/>
      <x:c r="W25" s="258"/>
      <x:c r="X25" s="258"/>
      <x:c r="Y25" s="258"/>
      <x:c r="Z25" s="258"/>
    </x:row>
    <x:row r="26">
      <x:c r="A26" s="258"/>
      <x:c r="B26" s="258"/>
      <x:c r="C26" s="258"/>
      <x:c r="D26" s="258"/>
      <x:c r="E26" s="258"/>
      <x:c r="F26" s="258"/>
      <x:c r="G26" s="258"/>
      <x:c r="H26" s="258"/>
      <x:c r="I26" s="258"/>
      <x:c r="J26" s="258"/>
      <x:c r="K26" s="258"/>
      <x:c r="L26" s="258"/>
      <x:c r="M26" s="258"/>
      <x:c r="N26" s="258"/>
      <x:c r="O26" s="258"/>
      <x:c r="P26" s="258"/>
      <x:c r="Q26" s="258"/>
      <x:c r="R26" s="258"/>
      <x:c r="S26" s="258"/>
      <x:c r="T26" s="258"/>
      <x:c r="U26" s="258"/>
      <x:c r="V26" s="258"/>
      <x:c r="W26" s="258"/>
      <x:c r="X26" s="258"/>
      <x:c r="Y26" s="258"/>
      <x:c r="Z26" s="258"/>
    </x:row>
    <x:row r="27">
      <x:c r="A27" s="258"/>
      <x:c r="B27" s="258"/>
      <x:c r="C27" s="258"/>
      <x:c r="D27" s="258"/>
      <x:c r="E27" s="258"/>
      <x:c r="F27" s="258"/>
      <x:c r="G27" s="258"/>
      <x:c r="H27" s="258"/>
      <x:c r="I27" s="258"/>
      <x:c r="J27" s="258"/>
      <x:c r="K27" s="258"/>
      <x:c r="L27" s="258"/>
      <x:c r="M27" s="258"/>
      <x:c r="N27" s="258"/>
      <x:c r="O27" s="258"/>
      <x:c r="P27" s="258"/>
      <x:c r="Q27" s="258"/>
      <x:c r="R27" s="258"/>
      <x:c r="S27" s="258"/>
      <x:c r="T27" s="258"/>
      <x:c r="U27" s="258"/>
      <x:c r="V27" s="258"/>
      <x:c r="W27" s="258"/>
      <x:c r="X27" s="258"/>
      <x:c r="Y27" s="258"/>
      <x:c r="Z27" s="258"/>
    </x:row>
    <x:row r="28">
      <x:c r="A28" s="258"/>
      <x:c r="B28" s="258"/>
      <x:c r="C28" s="258"/>
      <x:c r="D28" s="258"/>
      <x:c r="E28" s="258"/>
      <x:c r="F28" s="258"/>
      <x:c r="G28" s="258"/>
      <x:c r="H28" s="258"/>
      <x:c r="I28" s="258"/>
      <x:c r="J28" s="258"/>
      <x:c r="K28" s="258"/>
      <x:c r="L28" s="258"/>
      <x:c r="M28" s="258"/>
      <x:c r="N28" s="258"/>
      <x:c r="O28" s="258"/>
      <x:c r="P28" s="258"/>
      <x:c r="Q28" s="258"/>
      <x:c r="R28" s="258"/>
      <x:c r="S28" s="258"/>
      <x:c r="T28" s="258"/>
      <x:c r="U28" s="258"/>
      <x:c r="V28" s="258"/>
      <x:c r="W28" s="258"/>
      <x:c r="X28" s="258"/>
      <x:c r="Y28" s="258"/>
      <x:c r="Z28" s="258"/>
    </x:row>
    <x:row r="29">
      <x:c r="A29" s="258"/>
      <x:c r="B29" s="258"/>
      <x:c r="C29" s="258"/>
      <x:c r="D29" s="258"/>
      <x:c r="E29" s="258"/>
      <x:c r="F29" s="258"/>
      <x:c r="G29" s="258"/>
      <x:c r="H29" s="258"/>
      <x:c r="I29" s="258"/>
      <x:c r="J29" s="258"/>
      <x:c r="K29" s="258"/>
      <x:c r="L29" s="258"/>
      <x:c r="M29" s="258"/>
      <x:c r="N29" s="258"/>
      <x:c r="O29" s="258"/>
      <x:c r="P29" s="258"/>
      <x:c r="Q29" s="258"/>
      <x:c r="R29" s="258"/>
      <x:c r="S29" s="258"/>
      <x:c r="T29" s="258"/>
      <x:c r="U29" s="258"/>
      <x:c r="V29" s="258"/>
      <x:c r="W29" s="258"/>
      <x:c r="X29" s="258"/>
      <x:c r="Y29" s="258"/>
      <x:c r="Z29" s="258"/>
    </x:row>
    <x:row r="30">
      <x:c r="A30" s="258"/>
      <x:c r="B30" s="258"/>
      <x:c r="C30" s="258"/>
      <x:c r="D30" s="258"/>
      <x:c r="E30" s="258"/>
      <x:c r="F30" s="258"/>
      <x:c r="G30" s="258"/>
      <x:c r="H30" s="258"/>
      <x:c r="I30" s="258"/>
      <x:c r="J30" s="258"/>
      <x:c r="K30" s="258"/>
      <x:c r="L30" s="258"/>
      <x:c r="M30" s="258"/>
      <x:c r="N30" s="258"/>
      <x:c r="O30" s="258"/>
      <x:c r="P30" s="258"/>
      <x:c r="Q30" s="258"/>
      <x:c r="R30" s="258"/>
      <x:c r="S30" s="258"/>
      <x:c r="T30" s="258"/>
      <x:c r="U30" s="258"/>
      <x:c r="V30" s="258"/>
      <x:c r="W30" s="258"/>
      <x:c r="X30" s="258"/>
      <x:c r="Y30" s="258"/>
      <x:c r="Z30" s="258"/>
    </x:row>
    <x:row r="31">
      <x:c r="A31" s="258"/>
      <x:c r="B31" s="258"/>
      <x:c r="C31" s="258"/>
      <x:c r="D31" s="258"/>
      <x:c r="E31" s="258"/>
      <x:c r="F31" s="258"/>
      <x:c r="G31" s="258"/>
      <x:c r="H31" s="258"/>
      <x:c r="I31" s="258"/>
      <x:c r="J31" s="258"/>
      <x:c r="K31" s="258"/>
      <x:c r="L31" s="258"/>
      <x:c r="M31" s="258"/>
      <x:c r="N31" s="258"/>
      <x:c r="O31" s="258"/>
      <x:c r="P31" s="258"/>
      <x:c r="Q31" s="258"/>
      <x:c r="R31" s="258"/>
      <x:c r="S31" s="258"/>
      <x:c r="T31" s="258"/>
      <x:c r="U31" s="258"/>
      <x:c r="V31" s="258"/>
      <x:c r="W31" s="258"/>
      <x:c r="X31" s="258"/>
      <x:c r="Y31" s="258"/>
      <x:c r="Z31" s="258"/>
    </x:row>
    <x:row r="32">
      <x:c r="A32" s="258"/>
      <x:c r="B32" s="258"/>
      <x:c r="C32" s="258"/>
      <x:c r="D32" s="258"/>
      <x:c r="E32" s="258"/>
      <x:c r="F32" s="258"/>
      <x:c r="G32" s="258"/>
      <x:c r="H32" s="258"/>
      <x:c r="I32" s="258"/>
      <x:c r="J32" s="258"/>
      <x:c r="K32" s="258"/>
      <x:c r="L32" s="258"/>
      <x:c r="M32" s="258"/>
      <x:c r="N32" s="258"/>
      <x:c r="O32" s="258"/>
      <x:c r="P32" s="258"/>
      <x:c r="Q32" s="258"/>
      <x:c r="R32" s="258"/>
      <x:c r="S32" s="258"/>
      <x:c r="T32" s="258"/>
      <x:c r="U32" s="258"/>
      <x:c r="V32" s="258"/>
      <x:c r="W32" s="258"/>
      <x:c r="X32" s="258"/>
      <x:c r="Y32" s="258"/>
      <x:c r="Z32" s="258"/>
    </x:row>
    <x:row r="33">
      <x:c r="A33" s="258"/>
      <x:c r="B33" s="258"/>
      <x:c r="C33" s="258"/>
      <x:c r="D33" s="258"/>
      <x:c r="E33" s="258"/>
      <x:c r="F33" s="258"/>
      <x:c r="G33" s="258"/>
      <x:c r="H33" s="258"/>
      <x:c r="I33" s="258"/>
      <x:c r="J33" s="258"/>
      <x:c r="K33" s="258"/>
      <x:c r="L33" s="258"/>
      <x:c r="M33" s="258"/>
      <x:c r="N33" s="258"/>
      <x:c r="O33" s="258"/>
      <x:c r="P33" s="258"/>
      <x:c r="Q33" s="258"/>
      <x:c r="R33" s="258"/>
      <x:c r="S33" s="258"/>
      <x:c r="T33" s="258"/>
      <x:c r="U33" s="258"/>
      <x:c r="V33" s="258"/>
      <x:c r="W33" s="258"/>
      <x:c r="X33" s="258"/>
      <x:c r="Y33" s="258"/>
      <x:c r="Z33" s="258"/>
    </x:row>
    <x:row r="34">
      <x:c r="A34" s="258"/>
      <x:c r="B34" s="258"/>
      <x:c r="C34" s="258"/>
      <x:c r="D34" s="258"/>
      <x:c r="E34" s="258"/>
      <x:c r="F34" s="258"/>
      <x:c r="G34" s="258"/>
      <x:c r="H34" s="258"/>
      <x:c r="I34" s="258"/>
      <x:c r="J34" s="258"/>
      <x:c r="K34" s="258"/>
      <x:c r="L34" s="258"/>
      <x:c r="M34" s="258"/>
      <x:c r="N34" s="258"/>
      <x:c r="O34" s="258"/>
      <x:c r="P34" s="258"/>
      <x:c r="Q34" s="258"/>
      <x:c r="R34" s="258"/>
      <x:c r="S34" s="258"/>
      <x:c r="T34" s="258"/>
      <x:c r="U34" s="258"/>
      <x:c r="V34" s="258"/>
      <x:c r="W34" s="258"/>
      <x:c r="X34" s="258"/>
      <x:c r="Y34" s="258"/>
      <x:c r="Z34" s="258"/>
    </x:row>
    <x:row r="35">
      <x:c r="A35" s="258"/>
      <x:c r="B35" s="258"/>
      <x:c r="C35" s="258"/>
      <x:c r="D35" s="258"/>
      <x:c r="E35" s="258"/>
      <x:c r="F35" s="258"/>
      <x:c r="G35" s="258"/>
      <x:c r="H35" s="258"/>
      <x:c r="I35" s="258"/>
      <x:c r="J35" s="258"/>
      <x:c r="K35" s="258"/>
      <x:c r="L35" s="258"/>
      <x:c r="M35" s="258"/>
      <x:c r="N35" s="258"/>
      <x:c r="O35" s="258"/>
      <x:c r="P35" s="258"/>
      <x:c r="Q35" s="258"/>
      <x:c r="R35" s="258"/>
      <x:c r="S35" s="258"/>
      <x:c r="T35" s="258"/>
      <x:c r="U35" s="258"/>
      <x:c r="V35" s="258"/>
      <x:c r="W35" s="258"/>
      <x:c r="X35" s="258"/>
      <x:c r="Y35" s="258"/>
      <x:c r="Z35" s="258"/>
    </x:row>
    <x:row r="36">
      <x:c r="A36" s="258"/>
      <x:c r="B36" s="258"/>
      <x:c r="C36" s="258"/>
      <x:c r="D36" s="258"/>
      <x:c r="E36" s="258"/>
      <x:c r="F36" s="258"/>
      <x:c r="G36" s="258"/>
      <x:c r="H36" s="258"/>
      <x:c r="I36" s="258"/>
      <x:c r="J36" s="258"/>
      <x:c r="K36" s="258"/>
      <x:c r="L36" s="258"/>
      <x:c r="M36" s="258"/>
      <x:c r="N36" s="258"/>
      <x:c r="O36" s="258"/>
      <x:c r="P36" s="258"/>
      <x:c r="Q36" s="258"/>
      <x:c r="R36" s="258"/>
      <x:c r="S36" s="258"/>
      <x:c r="T36" s="258"/>
      <x:c r="U36" s="258"/>
      <x:c r="V36" s="258"/>
      <x:c r="W36" s="258"/>
      <x:c r="X36" s="258"/>
      <x:c r="Y36" s="258"/>
      <x:c r="Z36" s="258"/>
    </x:row>
    <x:row r="37">
      <x:c r="A37" s="258"/>
      <x:c r="B37" s="258"/>
      <x:c r="C37" s="258"/>
      <x:c r="D37" s="258"/>
      <x:c r="E37" s="258"/>
      <x:c r="F37" s="258"/>
      <x:c r="G37" s="258"/>
      <x:c r="H37" s="258"/>
      <x:c r="I37" s="258"/>
      <x:c r="J37" s="258"/>
      <x:c r="K37" s="258"/>
      <x:c r="L37" s="258"/>
      <x:c r="M37" s="258"/>
      <x:c r="N37" s="258"/>
      <x:c r="O37" s="258"/>
      <x:c r="P37" s="258"/>
      <x:c r="Q37" s="258"/>
      <x:c r="R37" s="258"/>
      <x:c r="S37" s="258"/>
      <x:c r="T37" s="258"/>
      <x:c r="U37" s="258"/>
      <x:c r="V37" s="258"/>
      <x:c r="W37" s="258"/>
      <x:c r="X37" s="258"/>
      <x:c r="Y37" s="258"/>
      <x:c r="Z37" s="258"/>
    </x:row>
    <x:row r="38">
      <x:c r="A38" s="258"/>
      <x:c r="B38" s="258"/>
      <x:c r="C38" s="258"/>
      <x:c r="D38" s="258"/>
      <x:c r="E38" s="258"/>
      <x:c r="F38" s="258"/>
      <x:c r="G38" s="258"/>
      <x:c r="H38" s="258"/>
      <x:c r="I38" s="258"/>
      <x:c r="J38" s="258"/>
      <x:c r="K38" s="258"/>
      <x:c r="L38" s="258"/>
      <x:c r="M38" s="258"/>
      <x:c r="N38" s="258"/>
      <x:c r="O38" s="258"/>
      <x:c r="P38" s="258"/>
      <x:c r="Q38" s="258"/>
      <x:c r="R38" s="258"/>
      <x:c r="S38" s="258"/>
      <x:c r="T38" s="258"/>
      <x:c r="U38" s="258"/>
      <x:c r="V38" s="258"/>
      <x:c r="W38" s="258"/>
      <x:c r="X38" s="258"/>
      <x:c r="Y38" s="258"/>
      <x:c r="Z38" s="258"/>
    </x:row>
    <x:row r="39">
      <x:c r="A39" s="258"/>
      <x:c r="B39" s="258"/>
      <x:c r="C39" s="258"/>
      <x:c r="D39" s="258"/>
      <x:c r="E39" s="258"/>
      <x:c r="F39" s="258"/>
      <x:c r="G39" s="258"/>
      <x:c r="H39" s="258"/>
      <x:c r="I39" s="258"/>
      <x:c r="J39" s="258"/>
      <x:c r="K39" s="258"/>
      <x:c r="L39" s="258"/>
      <x:c r="M39" s="258"/>
      <x:c r="N39" s="258"/>
      <x:c r="O39" s="258"/>
      <x:c r="P39" s="258"/>
      <x:c r="Q39" s="258"/>
      <x:c r="R39" s="258"/>
      <x:c r="S39" s="258"/>
      <x:c r="T39" s="258"/>
      <x:c r="U39" s="258"/>
      <x:c r="V39" s="258"/>
      <x:c r="W39" s="258"/>
      <x:c r="X39" s="258"/>
      <x:c r="Y39" s="258"/>
      <x:c r="Z39" s="258"/>
    </x:row>
    <x:row r="40">
      <x:c r="A40" s="258"/>
      <x:c r="B40" s="258"/>
      <x:c r="C40" s="258"/>
      <x:c r="D40" s="258"/>
      <x:c r="E40" s="258"/>
      <x:c r="F40" s="258"/>
      <x:c r="G40" s="258"/>
      <x:c r="H40" s="258"/>
      <x:c r="I40" s="258"/>
      <x:c r="J40" s="258"/>
      <x:c r="K40" s="258"/>
      <x:c r="L40" s="258"/>
      <x:c r="M40" s="258"/>
      <x:c r="N40" s="258"/>
      <x:c r="O40" s="258"/>
      <x:c r="P40" s="258"/>
      <x:c r="Q40" s="258"/>
      <x:c r="R40" s="258"/>
      <x:c r="S40" s="258"/>
      <x:c r="T40" s="258"/>
      <x:c r="U40" s="258"/>
      <x:c r="V40" s="258"/>
      <x:c r="W40" s="258"/>
      <x:c r="X40" s="258"/>
      <x:c r="Y40" s="258"/>
      <x:c r="Z40" s="258"/>
    </x:row>
    <x:row r="41">
      <x:c r="A41" s="258"/>
      <x:c r="B41" s="258"/>
      <x:c r="C41" s="258"/>
      <x:c r="D41" s="258"/>
      <x:c r="E41" s="258"/>
      <x:c r="F41" s="258"/>
      <x:c r="G41" s="258"/>
      <x:c r="H41" s="258"/>
      <x:c r="I41" s="258"/>
      <x:c r="J41" s="258"/>
      <x:c r="K41" s="258"/>
      <x:c r="L41" s="258"/>
      <x:c r="M41" s="258"/>
      <x:c r="N41" s="258"/>
      <x:c r="O41" s="258"/>
      <x:c r="P41" s="258"/>
      <x:c r="Q41" s="258"/>
      <x:c r="R41" s="258"/>
      <x:c r="S41" s="258"/>
      <x:c r="T41" s="258"/>
      <x:c r="U41" s="258"/>
      <x:c r="V41" s="258"/>
      <x:c r="W41" s="258"/>
      <x:c r="X41" s="258"/>
      <x:c r="Y41" s="258"/>
      <x:c r="Z41" s="258"/>
    </x:row>
    <x:row r="42">
      <x:c r="A42" s="258"/>
      <x:c r="B42" s="258"/>
      <x:c r="C42" s="258"/>
      <x:c r="D42" s="258"/>
      <x:c r="E42" s="258"/>
      <x:c r="F42" s="258"/>
      <x:c r="G42" s="258"/>
      <x:c r="H42" s="258"/>
      <x:c r="I42" s="258"/>
      <x:c r="J42" s="258"/>
      <x:c r="K42" s="258"/>
      <x:c r="L42" s="258"/>
      <x:c r="M42" s="258"/>
      <x:c r="N42" s="258"/>
      <x:c r="O42" s="258"/>
      <x:c r="P42" s="258"/>
      <x:c r="Q42" s="258"/>
      <x:c r="R42" s="258"/>
      <x:c r="S42" s="258"/>
      <x:c r="T42" s="258"/>
      <x:c r="U42" s="258"/>
      <x:c r="V42" s="258"/>
      <x:c r="W42" s="258"/>
      <x:c r="X42" s="258"/>
      <x:c r="Y42" s="258"/>
      <x:c r="Z42" s="258"/>
    </x:row>
    <x:row r="43">
      <x:c r="A43" s="258"/>
      <x:c r="B43" s="258"/>
      <x:c r="C43" s="258"/>
      <x:c r="D43" s="258"/>
      <x:c r="E43" s="258"/>
      <x:c r="F43" s="258"/>
      <x:c r="G43" s="258"/>
      <x:c r="H43" s="258"/>
      <x:c r="I43" s="258"/>
      <x:c r="J43" s="258"/>
      <x:c r="K43" s="258"/>
      <x:c r="L43" s="258"/>
      <x:c r="M43" s="258"/>
      <x:c r="N43" s="258"/>
      <x:c r="O43" s="258"/>
      <x:c r="P43" s="258"/>
      <x:c r="Q43" s="258"/>
      <x:c r="R43" s="258"/>
      <x:c r="S43" s="258"/>
      <x:c r="T43" s="258"/>
      <x:c r="U43" s="258"/>
      <x:c r="V43" s="258"/>
      <x:c r="W43" s="258"/>
      <x:c r="X43" s="258"/>
      <x:c r="Y43" s="258"/>
      <x:c r="Z43" s="258"/>
    </x:row>
    <x:row r="44">
      <x:c r="A44" s="258"/>
      <x:c r="B44" s="258"/>
      <x:c r="C44" s="258"/>
      <x:c r="D44" s="258"/>
      <x:c r="E44" s="258"/>
      <x:c r="F44" s="258"/>
      <x:c r="G44" s="258"/>
      <x:c r="H44" s="258"/>
      <x:c r="I44" s="258"/>
      <x:c r="J44" s="258"/>
      <x:c r="K44" s="258"/>
      <x:c r="L44" s="258"/>
      <x:c r="M44" s="258"/>
      <x:c r="N44" s="258"/>
      <x:c r="O44" s="258"/>
      <x:c r="P44" s="258"/>
      <x:c r="Q44" s="258"/>
      <x:c r="R44" s="258"/>
      <x:c r="S44" s="258"/>
      <x:c r="T44" s="258"/>
      <x:c r="U44" s="258"/>
      <x:c r="V44" s="258"/>
      <x:c r="W44" s="258"/>
      <x:c r="X44" s="258"/>
      <x:c r="Y44" s="258"/>
      <x:c r="Z44" s="258"/>
    </x:row>
    <x:row r="45">
      <x:c r="A45" s="258"/>
      <x:c r="B45" s="258"/>
      <x:c r="C45" s="258"/>
      <x:c r="D45" s="258"/>
      <x:c r="E45" s="258"/>
      <x:c r="F45" s="258"/>
      <x:c r="G45" s="258"/>
      <x:c r="H45" s="258"/>
      <x:c r="I45" s="258"/>
      <x:c r="J45" s="258"/>
      <x:c r="K45" s="258"/>
      <x:c r="L45" s="258"/>
      <x:c r="M45" s="258"/>
      <x:c r="N45" s="258"/>
      <x:c r="O45" s="258"/>
      <x:c r="P45" s="258"/>
      <x:c r="Q45" s="258"/>
      <x:c r="R45" s="258"/>
      <x:c r="S45" s="258"/>
      <x:c r="T45" s="258"/>
      <x:c r="U45" s="258"/>
      <x:c r="V45" s="258"/>
      <x:c r="W45" s="258"/>
      <x:c r="X45" s="258"/>
      <x:c r="Y45" s="258"/>
      <x:c r="Z45" s="258"/>
    </x:row>
    <x:row r="46">
      <x:c r="A46" s="258"/>
      <x:c r="B46" s="258"/>
      <x:c r="C46" s="258"/>
      <x:c r="D46" s="258"/>
      <x:c r="E46" s="258"/>
      <x:c r="F46" s="258"/>
      <x:c r="G46" s="258"/>
      <x:c r="H46" s="258"/>
      <x:c r="I46" s="258"/>
      <x:c r="J46" s="258"/>
      <x:c r="K46" s="258"/>
      <x:c r="L46" s="258"/>
      <x:c r="M46" s="258"/>
      <x:c r="N46" s="258"/>
      <x:c r="O46" s="258"/>
      <x:c r="P46" s="258"/>
      <x:c r="Q46" s="258"/>
      <x:c r="R46" s="258"/>
      <x:c r="S46" s="258"/>
      <x:c r="T46" s="258"/>
      <x:c r="U46" s="258"/>
      <x:c r="V46" s="258"/>
      <x:c r="W46" s="258"/>
      <x:c r="X46" s="258"/>
      <x:c r="Y46" s="258"/>
      <x:c r="Z46" s="258"/>
    </x:row>
    <x:row r="47">
      <x:c r="A47" s="258"/>
      <x:c r="B47" s="258"/>
      <x:c r="C47" s="258"/>
      <x:c r="D47" s="258"/>
      <x:c r="E47" s="258"/>
      <x:c r="F47" s="258"/>
      <x:c r="G47" s="258"/>
      <x:c r="H47" s="258"/>
      <x:c r="I47" s="258"/>
      <x:c r="J47" s="258"/>
      <x:c r="K47" s="258"/>
      <x:c r="L47" s="258"/>
      <x:c r="M47" s="258"/>
      <x:c r="N47" s="258"/>
      <x:c r="O47" s="258"/>
      <x:c r="P47" s="258"/>
      <x:c r="Q47" s="258"/>
      <x:c r="R47" s="258"/>
      <x:c r="S47" s="258"/>
      <x:c r="T47" s="258"/>
      <x:c r="U47" s="258"/>
      <x:c r="V47" s="258"/>
      <x:c r="W47" s="258"/>
      <x:c r="X47" s="258"/>
      <x:c r="Y47" s="258"/>
      <x:c r="Z47" s="258"/>
    </x:row>
    <x:row r="48">
      <x:c r="A48" s="258"/>
      <x:c r="B48" s="258"/>
      <x:c r="C48" s="258"/>
      <x:c r="D48" s="258"/>
      <x:c r="E48" s="258"/>
      <x:c r="F48" s="258"/>
      <x:c r="G48" s="258"/>
      <x:c r="H48" s="258"/>
      <x:c r="I48" s="258"/>
      <x:c r="J48" s="258"/>
      <x:c r="K48" s="258"/>
      <x:c r="L48" s="258"/>
      <x:c r="M48" s="258"/>
      <x:c r="N48" s="258"/>
      <x:c r="O48" s="258"/>
      <x:c r="P48" s="258"/>
      <x:c r="Q48" s="258"/>
      <x:c r="R48" s="258"/>
      <x:c r="S48" s="258"/>
      <x:c r="T48" s="258"/>
      <x:c r="U48" s="258"/>
      <x:c r="V48" s="258"/>
      <x:c r="W48" s="258"/>
      <x:c r="X48" s="258"/>
      <x:c r="Y48" s="258"/>
      <x:c r="Z48" s="258"/>
    </x:row>
    <x:row r="49">
      <x:c r="A49" s="258"/>
      <x:c r="B49" s="258"/>
      <x:c r="C49" s="258"/>
      <x:c r="D49" s="258"/>
      <x:c r="E49" s="258"/>
      <x:c r="F49" s="258"/>
      <x:c r="G49" s="258"/>
      <x:c r="H49" s="258"/>
      <x:c r="I49" s="258"/>
      <x:c r="J49" s="258"/>
      <x:c r="K49" s="258"/>
      <x:c r="L49" s="258"/>
      <x:c r="M49" s="258"/>
      <x:c r="N49" s="258"/>
      <x:c r="O49" s="258"/>
      <x:c r="P49" s="258"/>
      <x:c r="Q49" s="258"/>
      <x:c r="R49" s="258"/>
      <x:c r="S49" s="258"/>
      <x:c r="T49" s="258"/>
      <x:c r="U49" s="258"/>
      <x:c r="V49" s="258"/>
      <x:c r="W49" s="258"/>
      <x:c r="X49" s="258"/>
      <x:c r="Y49" s="258"/>
      <x:c r="Z49" s="258"/>
    </x:row>
    <x:row r="50">
      <x:c r="A50" s="258"/>
      <x:c r="B50" s="258"/>
      <x:c r="C50" s="258"/>
      <x:c r="D50" s="258"/>
      <x:c r="E50" s="258"/>
      <x:c r="F50" s="258"/>
      <x:c r="G50" s="258"/>
      <x:c r="H50" s="258"/>
      <x:c r="I50" s="258"/>
      <x:c r="J50" s="258"/>
      <x:c r="K50" s="258"/>
      <x:c r="L50" s="258"/>
      <x:c r="M50" s="258"/>
      <x:c r="N50" s="258"/>
      <x:c r="O50" s="258"/>
      <x:c r="P50" s="258"/>
      <x:c r="Q50" s="258"/>
      <x:c r="R50" s="258"/>
      <x:c r="S50" s="258"/>
      <x:c r="T50" s="258"/>
      <x:c r="U50" s="258"/>
      <x:c r="V50" s="258"/>
      <x:c r="W50" s="258"/>
      <x:c r="X50" s="258"/>
      <x:c r="Y50" s="258"/>
      <x:c r="Z50" s="258"/>
    </x:row>
    <x:row r="51">
      <x:c r="A51" s="258"/>
      <x:c r="B51" s="258"/>
      <x:c r="C51" s="258"/>
      <x:c r="D51" s="258"/>
      <x:c r="E51" s="258"/>
      <x:c r="F51" s="258"/>
      <x:c r="G51" s="258"/>
      <x:c r="H51" s="258"/>
      <x:c r="I51" s="258"/>
      <x:c r="J51" s="258"/>
      <x:c r="K51" s="258"/>
      <x:c r="L51" s="258"/>
      <x:c r="M51" s="258"/>
      <x:c r="N51" s="258"/>
      <x:c r="O51" s="258"/>
      <x:c r="P51" s="258"/>
      <x:c r="Q51" s="258"/>
      <x:c r="R51" s="258"/>
      <x:c r="S51" s="258"/>
      <x:c r="T51" s="258"/>
      <x:c r="U51" s="258"/>
      <x:c r="V51" s="258"/>
      <x:c r="W51" s="258"/>
      <x:c r="X51" s="258"/>
      <x:c r="Y51" s="258"/>
      <x:c r="Z51" s="258"/>
    </x:row>
    <x:row r="52">
      <x:c r="A52" s="258"/>
      <x:c r="B52" s="258"/>
      <x:c r="C52" s="258"/>
      <x:c r="D52" s="258"/>
      <x:c r="E52" s="258"/>
      <x:c r="F52" s="258"/>
      <x:c r="G52" s="258"/>
      <x:c r="H52" s="258"/>
      <x:c r="I52" s="258"/>
      <x:c r="J52" s="258"/>
      <x:c r="K52" s="258"/>
      <x:c r="L52" s="258"/>
      <x:c r="M52" s="258"/>
      <x:c r="N52" s="258"/>
      <x:c r="O52" s="258"/>
      <x:c r="P52" s="258"/>
      <x:c r="Q52" s="258"/>
      <x:c r="R52" s="258"/>
      <x:c r="S52" s="258"/>
      <x:c r="T52" s="258"/>
      <x:c r="U52" s="258"/>
      <x:c r="V52" s="258"/>
      <x:c r="W52" s="258"/>
      <x:c r="X52" s="258"/>
      <x:c r="Y52" s="258"/>
      <x:c r="Z52" s="258"/>
    </x:row>
    <x:row r="53">
      <x:c r="A53" s="258"/>
      <x:c r="B53" s="258"/>
      <x:c r="C53" s="258"/>
      <x:c r="D53" s="258"/>
      <x:c r="E53" s="258"/>
      <x:c r="F53" s="258"/>
      <x:c r="G53" s="258"/>
      <x:c r="H53" s="258"/>
      <x:c r="I53" s="258"/>
      <x:c r="J53" s="258"/>
      <x:c r="K53" s="258"/>
      <x:c r="L53" s="258"/>
      <x:c r="M53" s="258"/>
      <x:c r="N53" s="258"/>
      <x:c r="O53" s="258"/>
      <x:c r="P53" s="258"/>
      <x:c r="Q53" s="258"/>
      <x:c r="R53" s="258"/>
      <x:c r="S53" s="258"/>
      <x:c r="T53" s="258"/>
      <x:c r="U53" s="258"/>
      <x:c r="V53" s="258"/>
      <x:c r="W53" s="258"/>
      <x:c r="X53" s="258"/>
      <x:c r="Y53" s="258"/>
      <x:c r="Z53" s="258"/>
    </x:row>
    <x:row r="54">
      <x:c r="A54" s="258"/>
      <x:c r="B54" s="258"/>
      <x:c r="C54" s="258"/>
      <x:c r="D54" s="258"/>
      <x:c r="E54" s="258"/>
      <x:c r="F54" s="258"/>
      <x:c r="G54" s="258"/>
      <x:c r="H54" s="258"/>
      <x:c r="I54" s="258"/>
      <x:c r="J54" s="258"/>
      <x:c r="K54" s="258"/>
      <x:c r="L54" s="258"/>
      <x:c r="M54" s="258"/>
      <x:c r="N54" s="258"/>
      <x:c r="O54" s="258"/>
      <x:c r="P54" s="258"/>
      <x:c r="Q54" s="258"/>
      <x:c r="R54" s="258"/>
      <x:c r="S54" s="258"/>
      <x:c r="T54" s="258"/>
      <x:c r="U54" s="258"/>
      <x:c r="V54" s="258"/>
      <x:c r="W54" s="258"/>
      <x:c r="X54" s="258"/>
      <x:c r="Y54" s="258"/>
      <x:c r="Z54" s="258"/>
    </x:row>
    <x:row r="55">
      <x:c r="A55" s="258"/>
      <x:c r="B55" s="258"/>
      <x:c r="C55" s="258"/>
      <x:c r="D55" s="258"/>
      <x:c r="E55" s="258"/>
      <x:c r="F55" s="258"/>
      <x:c r="G55" s="258"/>
      <x:c r="H55" s="258"/>
      <x:c r="I55" s="258"/>
      <x:c r="J55" s="258"/>
      <x:c r="K55" s="258"/>
      <x:c r="L55" s="258"/>
      <x:c r="M55" s="258"/>
      <x:c r="N55" s="258"/>
      <x:c r="O55" s="258"/>
      <x:c r="P55" s="258"/>
      <x:c r="Q55" s="258"/>
      <x:c r="R55" s="258"/>
      <x:c r="S55" s="258"/>
      <x:c r="T55" s="258"/>
      <x:c r="U55" s="258"/>
      <x:c r="V55" s="258"/>
      <x:c r="W55" s="258"/>
      <x:c r="X55" s="258"/>
      <x:c r="Y55" s="258"/>
      <x:c r="Z55" s="258"/>
    </x:row>
    <x:row r="56">
      <x:c r="A56" s="258"/>
      <x:c r="B56" s="258"/>
      <x:c r="C56" s="258"/>
      <x:c r="D56" s="258"/>
      <x:c r="E56" s="258"/>
      <x:c r="F56" s="258"/>
      <x:c r="G56" s="258"/>
      <x:c r="H56" s="258"/>
      <x:c r="I56" s="258"/>
      <x:c r="J56" s="258"/>
      <x:c r="K56" s="258"/>
      <x:c r="L56" s="258"/>
      <x:c r="M56" s="258"/>
      <x:c r="N56" s="258"/>
      <x:c r="O56" s="258"/>
      <x:c r="P56" s="258"/>
      <x:c r="Q56" s="258"/>
      <x:c r="R56" s="258"/>
      <x:c r="S56" s="258"/>
      <x:c r="T56" s="258"/>
      <x:c r="U56" s="258"/>
      <x:c r="V56" s="258"/>
      <x:c r="W56" s="258"/>
      <x:c r="X56" s="258"/>
      <x:c r="Y56" s="258"/>
      <x:c r="Z56" s="258"/>
    </x:row>
    <x:row r="57">
      <x:c r="A57" s="258"/>
      <x:c r="B57" s="258"/>
      <x:c r="C57" s="258"/>
      <x:c r="D57" s="258"/>
      <x:c r="E57" s="258"/>
      <x:c r="F57" s="258"/>
      <x:c r="G57" s="258"/>
      <x:c r="H57" s="258"/>
      <x:c r="I57" s="258"/>
      <x:c r="J57" s="258"/>
      <x:c r="K57" s="258"/>
      <x:c r="L57" s="258"/>
      <x:c r="M57" s="258"/>
      <x:c r="N57" s="258"/>
      <x:c r="O57" s="258"/>
      <x:c r="P57" s="258"/>
      <x:c r="Q57" s="258"/>
      <x:c r="R57" s="258"/>
      <x:c r="S57" s="258"/>
      <x:c r="T57" s="258"/>
      <x:c r="U57" s="258"/>
      <x:c r="V57" s="258"/>
      <x:c r="W57" s="258"/>
      <x:c r="X57" s="258"/>
      <x:c r="Y57" s="258"/>
      <x:c r="Z57" s="258"/>
    </x:row>
    <x:row r="58">
      <x:c r="A58" s="258"/>
      <x:c r="B58" s="258"/>
      <x:c r="C58" s="258"/>
      <x:c r="D58" s="258"/>
      <x:c r="E58" s="258"/>
      <x:c r="F58" s="258"/>
      <x:c r="G58" s="258"/>
      <x:c r="H58" s="258"/>
      <x:c r="I58" s="258"/>
      <x:c r="J58" s="258"/>
      <x:c r="K58" s="258"/>
      <x:c r="L58" s="258"/>
      <x:c r="M58" s="258"/>
      <x:c r="N58" s="258"/>
      <x:c r="O58" s="258"/>
      <x:c r="P58" s="258"/>
      <x:c r="Q58" s="258"/>
      <x:c r="R58" s="258"/>
      <x:c r="S58" s="258"/>
      <x:c r="T58" s="258"/>
      <x:c r="U58" s="258"/>
      <x:c r="V58" s="258"/>
      <x:c r="W58" s="258"/>
      <x:c r="X58" s="258"/>
      <x:c r="Y58" s="258"/>
      <x:c r="Z58" s="258"/>
    </x:row>
    <x:row r="59">
      <x:c r="A59" s="258"/>
      <x:c r="B59" s="258"/>
      <x:c r="C59" s="258"/>
      <x:c r="D59" s="258"/>
      <x:c r="E59" s="258"/>
      <x:c r="F59" s="258"/>
      <x:c r="G59" s="258"/>
      <x:c r="H59" s="258"/>
      <x:c r="I59" s="258"/>
      <x:c r="J59" s="258"/>
      <x:c r="K59" s="258"/>
      <x:c r="L59" s="258"/>
      <x:c r="M59" s="258"/>
      <x:c r="N59" s="258"/>
      <x:c r="O59" s="258"/>
      <x:c r="P59" s="258"/>
      <x:c r="Q59" s="258"/>
      <x:c r="R59" s="258"/>
      <x:c r="S59" s="258"/>
      <x:c r="T59" s="258"/>
      <x:c r="U59" s="258"/>
      <x:c r="V59" s="258"/>
      <x:c r="W59" s="258"/>
      <x:c r="X59" s="258"/>
      <x:c r="Y59" s="258"/>
      <x:c r="Z59" s="258"/>
    </x:row>
    <x:row r="60">
      <x:c r="A60" s="258"/>
      <x:c r="B60" s="258"/>
      <x:c r="C60" s="258"/>
      <x:c r="D60" s="258"/>
      <x:c r="E60" s="258"/>
      <x:c r="F60" s="258"/>
      <x:c r="G60" s="258"/>
      <x:c r="H60" s="258"/>
      <x:c r="I60" s="258"/>
      <x:c r="J60" s="258"/>
      <x:c r="K60" s="258"/>
      <x:c r="L60" s="258"/>
      <x:c r="M60" s="258"/>
      <x:c r="N60" s="258"/>
      <x:c r="O60" s="258"/>
      <x:c r="P60" s="258"/>
      <x:c r="Q60" s="258"/>
      <x:c r="R60" s="258"/>
      <x:c r="S60" s="258"/>
      <x:c r="T60" s="258"/>
      <x:c r="U60" s="258"/>
      <x:c r="V60" s="258"/>
      <x:c r="W60" s="258"/>
      <x:c r="X60" s="258"/>
      <x:c r="Y60" s="258"/>
      <x:c r="Z60" s="258"/>
    </x:row>
    <x:row r="61">
      <x:c r="A61" s="258"/>
      <x:c r="B61" s="258"/>
      <x:c r="C61" s="258"/>
      <x:c r="D61" s="258"/>
      <x:c r="E61" s="258"/>
      <x:c r="F61" s="258"/>
      <x:c r="G61" s="258"/>
      <x:c r="H61" s="258"/>
      <x:c r="I61" s="258"/>
      <x:c r="J61" s="258"/>
      <x:c r="K61" s="258"/>
      <x:c r="L61" s="258"/>
      <x:c r="M61" s="258"/>
      <x:c r="N61" s="258"/>
      <x:c r="O61" s="258"/>
      <x:c r="P61" s="258"/>
      <x:c r="Q61" s="258"/>
      <x:c r="R61" s="258"/>
      <x:c r="S61" s="258"/>
      <x:c r="T61" s="258"/>
      <x:c r="U61" s="258"/>
      <x:c r="V61" s="258"/>
      <x:c r="W61" s="258"/>
      <x:c r="X61" s="258"/>
      <x:c r="Y61" s="258"/>
      <x:c r="Z61" s="258"/>
    </x:row>
    <x:row r="62">
      <x:c r="A62" s="258"/>
      <x:c r="B62" s="258"/>
      <x:c r="C62" s="258"/>
      <x:c r="D62" s="258"/>
      <x:c r="E62" s="258"/>
      <x:c r="F62" s="258"/>
      <x:c r="G62" s="258"/>
      <x:c r="H62" s="258"/>
      <x:c r="I62" s="258"/>
      <x:c r="J62" s="258"/>
      <x:c r="K62" s="258"/>
      <x:c r="L62" s="258"/>
      <x:c r="M62" s="258"/>
      <x:c r="N62" s="258"/>
      <x:c r="O62" s="258"/>
      <x:c r="P62" s="258"/>
      <x:c r="Q62" s="258"/>
      <x:c r="R62" s="258"/>
      <x:c r="S62" s="258"/>
      <x:c r="T62" s="258"/>
      <x:c r="U62" s="258"/>
      <x:c r="V62" s="258"/>
      <x:c r="W62" s="258"/>
      <x:c r="X62" s="258"/>
      <x:c r="Y62" s="258"/>
      <x:c r="Z62" s="258"/>
    </x:row>
    <x:row r="63">
      <x:c r="A63" s="258"/>
      <x:c r="B63" s="258"/>
      <x:c r="C63" s="258"/>
      <x:c r="D63" s="258"/>
      <x:c r="E63" s="258"/>
      <x:c r="F63" s="258"/>
      <x:c r="G63" s="258"/>
      <x:c r="H63" s="258"/>
      <x:c r="I63" s="258"/>
      <x:c r="J63" s="258"/>
      <x:c r="K63" s="258"/>
      <x:c r="L63" s="258"/>
      <x:c r="M63" s="258"/>
      <x:c r="N63" s="258"/>
      <x:c r="O63" s="258"/>
      <x:c r="P63" s="258"/>
      <x:c r="Q63" s="258"/>
      <x:c r="R63" s="258"/>
      <x:c r="S63" s="258"/>
      <x:c r="T63" s="258"/>
      <x:c r="U63" s="258"/>
      <x:c r="V63" s="258"/>
      <x:c r="W63" s="258"/>
      <x:c r="X63" s="258"/>
      <x:c r="Y63" s="258"/>
      <x:c r="Z63" s="258"/>
    </x:row>
    <x:row r="64">
      <x:c r="A64" s="258"/>
      <x:c r="B64" s="258"/>
      <x:c r="C64" s="258"/>
      <x:c r="D64" s="258"/>
      <x:c r="E64" s="258"/>
      <x:c r="F64" s="258"/>
      <x:c r="G64" s="258"/>
      <x:c r="H64" s="258"/>
      <x:c r="I64" s="258"/>
      <x:c r="J64" s="258"/>
      <x:c r="K64" s="258"/>
      <x:c r="L64" s="258"/>
      <x:c r="M64" s="258"/>
      <x:c r="N64" s="258"/>
      <x:c r="O64" s="258"/>
      <x:c r="P64" s="258"/>
      <x:c r="Q64" s="258"/>
      <x:c r="R64" s="258"/>
      <x:c r="S64" s="258"/>
      <x:c r="T64" s="258"/>
      <x:c r="U64" s="258"/>
      <x:c r="V64" s="258"/>
      <x:c r="W64" s="258"/>
      <x:c r="X64" s="258"/>
      <x:c r="Y64" s="258"/>
      <x:c r="Z64" s="258"/>
    </x:row>
    <x:row r="65">
      <x:c r="A65" s="258"/>
      <x:c r="B65" s="258"/>
      <x:c r="C65" s="258"/>
      <x:c r="D65" s="258"/>
      <x:c r="E65" s="258"/>
      <x:c r="F65" s="258"/>
      <x:c r="G65" s="258"/>
      <x:c r="H65" s="258"/>
      <x:c r="I65" s="258"/>
      <x:c r="J65" s="258"/>
      <x:c r="K65" s="258"/>
      <x:c r="L65" s="258"/>
      <x:c r="M65" s="258"/>
      <x:c r="N65" s="258"/>
      <x:c r="O65" s="258"/>
      <x:c r="P65" s="258"/>
      <x:c r="Q65" s="258"/>
      <x:c r="R65" s="258"/>
      <x:c r="S65" s="258"/>
      <x:c r="T65" s="258"/>
      <x:c r="U65" s="258"/>
      <x:c r="V65" s="258"/>
      <x:c r="W65" s="258"/>
      <x:c r="X65" s="258"/>
      <x:c r="Y65" s="258"/>
      <x:c r="Z65" s="258"/>
    </x:row>
    <x:row r="66">
      <x:c r="A66" s="258"/>
      <x:c r="B66" s="258"/>
      <x:c r="C66" s="258"/>
      <x:c r="D66" s="258"/>
      <x:c r="E66" s="258"/>
      <x:c r="F66" s="258"/>
      <x:c r="G66" s="258"/>
      <x:c r="H66" s="258"/>
      <x:c r="I66" s="258"/>
      <x:c r="J66" s="258"/>
      <x:c r="K66" s="258"/>
      <x:c r="L66" s="258"/>
      <x:c r="M66" s="258"/>
      <x:c r="N66" s="258"/>
      <x:c r="O66" s="258"/>
      <x:c r="P66" s="258"/>
      <x:c r="Q66" s="258"/>
      <x:c r="R66" s="258"/>
      <x:c r="S66" s="258"/>
      <x:c r="T66" s="258"/>
      <x:c r="U66" s="258"/>
      <x:c r="V66" s="258"/>
      <x:c r="W66" s="258"/>
      <x:c r="X66" s="258"/>
      <x:c r="Y66" s="258"/>
      <x:c r="Z66" s="258"/>
    </x:row>
    <x:row r="67">
      <x:c r="A67" s="258"/>
      <x:c r="B67" s="258"/>
      <x:c r="C67" s="258"/>
      <x:c r="D67" s="258"/>
      <x:c r="E67" s="258"/>
      <x:c r="F67" s="258"/>
      <x:c r="G67" s="258"/>
      <x:c r="H67" s="258"/>
      <x:c r="I67" s="258"/>
      <x:c r="J67" s="258"/>
      <x:c r="K67" s="258"/>
      <x:c r="L67" s="258"/>
      <x:c r="M67" s="258"/>
      <x:c r="N67" s="258"/>
      <x:c r="O67" s="258"/>
      <x:c r="P67" s="258"/>
      <x:c r="Q67" s="258"/>
      <x:c r="R67" s="258"/>
      <x:c r="S67" s="258"/>
      <x:c r="T67" s="258"/>
      <x:c r="U67" s="258"/>
      <x:c r="V67" s="258"/>
      <x:c r="W67" s="258"/>
      <x:c r="X67" s="258"/>
      <x:c r="Y67" s="258"/>
      <x:c r="Z67" s="258"/>
    </x:row>
    <x:row r="68">
      <x:c r="A68" s="258"/>
      <x:c r="B68" s="258"/>
      <x:c r="C68" s="258"/>
      <x:c r="D68" s="258"/>
      <x:c r="E68" s="258"/>
      <x:c r="F68" s="258"/>
      <x:c r="G68" s="258"/>
      <x:c r="H68" s="258"/>
      <x:c r="I68" s="258"/>
      <x:c r="J68" s="258"/>
      <x:c r="K68" s="258"/>
      <x:c r="L68" s="258"/>
      <x:c r="M68" s="258"/>
      <x:c r="N68" s="258"/>
      <x:c r="O68" s="258"/>
      <x:c r="P68" s="258"/>
      <x:c r="Q68" s="258"/>
      <x:c r="R68" s="258"/>
      <x:c r="S68" s="258"/>
      <x:c r="T68" s="258"/>
      <x:c r="U68" s="258"/>
      <x:c r="V68" s="258"/>
      <x:c r="W68" s="258"/>
      <x:c r="X68" s="258"/>
      <x:c r="Y68" s="258"/>
      <x:c r="Z68" s="258"/>
    </x:row>
    <x:row r="69">
      <x:c r="A69" s="258"/>
      <x:c r="B69" s="258"/>
      <x:c r="C69" s="258"/>
      <x:c r="D69" s="258"/>
      <x:c r="E69" s="258"/>
      <x:c r="F69" s="258"/>
      <x:c r="G69" s="258"/>
      <x:c r="H69" s="258"/>
      <x:c r="I69" s="258"/>
      <x:c r="J69" s="258"/>
      <x:c r="K69" s="258"/>
      <x:c r="L69" s="258"/>
      <x:c r="M69" s="258"/>
      <x:c r="N69" s="258"/>
      <x:c r="O69" s="258"/>
      <x:c r="P69" s="258"/>
      <x:c r="Q69" s="258"/>
      <x:c r="R69" s="258"/>
      <x:c r="S69" s="258"/>
      <x:c r="T69" s="258"/>
      <x:c r="U69" s="258"/>
      <x:c r="V69" s="258"/>
      <x:c r="W69" s="258"/>
      <x:c r="X69" s="258"/>
      <x:c r="Y69" s="258"/>
      <x:c r="Z69" s="258"/>
    </x:row>
    <x:row r="70">
      <x:c r="A70" s="258"/>
      <x:c r="B70" s="258"/>
      <x:c r="C70" s="258"/>
      <x:c r="D70" s="258"/>
      <x:c r="E70" s="258"/>
      <x:c r="F70" s="258"/>
      <x:c r="G70" s="258"/>
      <x:c r="H70" s="258"/>
      <x:c r="I70" s="258"/>
      <x:c r="J70" s="258"/>
      <x:c r="K70" s="258"/>
      <x:c r="L70" s="258"/>
      <x:c r="M70" s="258"/>
      <x:c r="N70" s="258"/>
      <x:c r="O70" s="258"/>
      <x:c r="P70" s="258"/>
      <x:c r="Q70" s="258"/>
      <x:c r="R70" s="258"/>
      <x:c r="S70" s="258"/>
      <x:c r="T70" s="258"/>
      <x:c r="U70" s="258"/>
      <x:c r="V70" s="258"/>
      <x:c r="W70" s="258"/>
      <x:c r="X70" s="258"/>
      <x:c r="Y70" s="258"/>
      <x:c r="Z70" s="258"/>
    </x:row>
    <x:row r="71">
      <x:c r="A71" s="258"/>
      <x:c r="B71" s="258"/>
      <x:c r="C71" s="258"/>
      <x:c r="D71" s="258"/>
      <x:c r="E71" s="258"/>
      <x:c r="F71" s="258"/>
      <x:c r="G71" s="258"/>
      <x:c r="H71" s="258"/>
      <x:c r="I71" s="258"/>
      <x:c r="J71" s="258"/>
      <x:c r="K71" s="258"/>
      <x:c r="L71" s="258"/>
      <x:c r="M71" s="258"/>
      <x:c r="N71" s="258"/>
      <x:c r="O71" s="258"/>
      <x:c r="P71" s="258"/>
      <x:c r="Q71" s="258"/>
      <x:c r="R71" s="258"/>
      <x:c r="S71" s="258"/>
      <x:c r="T71" s="258"/>
      <x:c r="U71" s="258"/>
      <x:c r="V71" s="258"/>
      <x:c r="W71" s="258"/>
      <x:c r="X71" s="258"/>
      <x:c r="Y71" s="258"/>
      <x:c r="Z71" s="258"/>
    </x:row>
    <x:row r="72">
      <x:c r="A72" s="258"/>
      <x:c r="B72" s="258"/>
      <x:c r="C72" s="258"/>
      <x:c r="D72" s="258"/>
      <x:c r="E72" s="258"/>
      <x:c r="F72" s="258"/>
      <x:c r="G72" s="258"/>
      <x:c r="H72" s="258"/>
      <x:c r="I72" s="258"/>
      <x:c r="J72" s="258"/>
      <x:c r="K72" s="258"/>
      <x:c r="L72" s="258"/>
      <x:c r="M72" s="258"/>
      <x:c r="N72" s="258"/>
      <x:c r="O72" s="258"/>
      <x:c r="P72" s="258"/>
      <x:c r="Q72" s="258"/>
      <x:c r="R72" s="258"/>
      <x:c r="S72" s="258"/>
      <x:c r="T72" s="258"/>
      <x:c r="U72" s="258"/>
      <x:c r="V72" s="258"/>
      <x:c r="W72" s="258"/>
      <x:c r="X72" s="258"/>
      <x:c r="Y72" s="258"/>
      <x:c r="Z72" s="258"/>
    </x:row>
    <x:row r="73">
      <x:c r="A73" s="258"/>
      <x:c r="B73" s="258"/>
      <x:c r="C73" s="258"/>
      <x:c r="D73" s="258"/>
      <x:c r="E73" s="258"/>
      <x:c r="F73" s="258"/>
      <x:c r="G73" s="258"/>
      <x:c r="H73" s="258"/>
      <x:c r="I73" s="258"/>
      <x:c r="J73" s="258"/>
      <x:c r="K73" s="258"/>
      <x:c r="L73" s="258"/>
      <x:c r="M73" s="258"/>
      <x:c r="N73" s="258"/>
      <x:c r="O73" s="258"/>
      <x:c r="P73" s="258"/>
      <x:c r="Q73" s="258"/>
      <x:c r="R73" s="258"/>
      <x:c r="S73" s="258"/>
      <x:c r="T73" s="258"/>
      <x:c r="U73" s="258"/>
      <x:c r="V73" s="258"/>
      <x:c r="W73" s="258"/>
      <x:c r="X73" s="258"/>
      <x:c r="Y73" s="258"/>
      <x:c r="Z73" s="258"/>
    </x:row>
    <x:row r="74">
      <x:c r="A74" s="258"/>
      <x:c r="B74" s="258"/>
      <x:c r="C74" s="258"/>
      <x:c r="D74" s="258"/>
      <x:c r="E74" s="258"/>
      <x:c r="F74" s="258"/>
      <x:c r="G74" s="258"/>
      <x:c r="H74" s="258"/>
      <x:c r="I74" s="258"/>
      <x:c r="J74" s="258"/>
      <x:c r="K74" s="258"/>
      <x:c r="L74" s="258"/>
      <x:c r="M74" s="258"/>
      <x:c r="N74" s="258"/>
      <x:c r="O74" s="258"/>
      <x:c r="P74" s="258"/>
      <x:c r="Q74" s="258"/>
      <x:c r="R74" s="258"/>
      <x:c r="S74" s="258"/>
      <x:c r="T74" s="258"/>
      <x:c r="U74" s="258"/>
      <x:c r="V74" s="258"/>
      <x:c r="W74" s="258"/>
      <x:c r="X74" s="258"/>
      <x:c r="Y74" s="258"/>
      <x:c r="Z74" s="258"/>
    </x:row>
    <x:row r="75">
      <x:c r="A75" s="258"/>
      <x:c r="B75" s="258"/>
      <x:c r="C75" s="258"/>
      <x:c r="D75" s="258"/>
      <x:c r="E75" s="258"/>
      <x:c r="F75" s="258"/>
      <x:c r="G75" s="258"/>
      <x:c r="H75" s="258"/>
      <x:c r="I75" s="258"/>
      <x:c r="J75" s="258"/>
      <x:c r="K75" s="258"/>
      <x:c r="L75" s="258"/>
      <x:c r="M75" s="258"/>
      <x:c r="N75" s="258"/>
      <x:c r="O75" s="258"/>
      <x:c r="P75" s="258"/>
      <x:c r="Q75" s="258"/>
      <x:c r="R75" s="258"/>
      <x:c r="S75" s="258"/>
      <x:c r="T75" s="258"/>
      <x:c r="U75" s="258"/>
      <x:c r="V75" s="258"/>
      <x:c r="W75" s="258"/>
      <x:c r="X75" s="258"/>
      <x:c r="Y75" s="258"/>
      <x:c r="Z75" s="258"/>
    </x:row>
    <x:row r="76">
      <x:c r="A76" s="258"/>
      <x:c r="B76" s="258"/>
      <x:c r="C76" s="258"/>
      <x:c r="D76" s="258"/>
      <x:c r="E76" s="258"/>
      <x:c r="F76" s="258"/>
      <x:c r="G76" s="258"/>
      <x:c r="H76" s="258"/>
      <x:c r="I76" s="258"/>
      <x:c r="J76" s="258"/>
      <x:c r="K76" s="258"/>
      <x:c r="L76" s="258"/>
      <x:c r="M76" s="258"/>
      <x:c r="N76" s="258"/>
      <x:c r="O76" s="258"/>
      <x:c r="P76" s="258"/>
      <x:c r="Q76" s="258"/>
      <x:c r="R76" s="258"/>
      <x:c r="S76" s="258"/>
      <x:c r="T76" s="258"/>
      <x:c r="U76" s="258"/>
      <x:c r="V76" s="258"/>
      <x:c r="W76" s="258"/>
      <x:c r="X76" s="258"/>
      <x:c r="Y76" s="258"/>
      <x:c r="Z76" s="258"/>
    </x:row>
    <x:row r="77">
      <x:c r="A77" s="258"/>
      <x:c r="B77" s="258"/>
      <x:c r="C77" s="258"/>
      <x:c r="D77" s="258"/>
      <x:c r="E77" s="258"/>
      <x:c r="F77" s="258"/>
      <x:c r="G77" s="258"/>
      <x:c r="H77" s="258"/>
      <x:c r="I77" s="258"/>
      <x:c r="J77" s="258"/>
      <x:c r="K77" s="258"/>
      <x:c r="L77" s="258"/>
      <x:c r="M77" s="258"/>
      <x:c r="N77" s="258"/>
      <x:c r="O77" s="258"/>
      <x:c r="P77" s="258"/>
      <x:c r="Q77" s="258"/>
      <x:c r="R77" s="258"/>
      <x:c r="S77" s="258"/>
      <x:c r="T77" s="258"/>
      <x:c r="U77" s="258"/>
      <x:c r="V77" s="258"/>
      <x:c r="W77" s="258"/>
      <x:c r="X77" s="258"/>
      <x:c r="Y77" s="258"/>
      <x:c r="Z77" s="258"/>
    </x:row>
    <x:row r="78">
      <x:c r="A78" s="258"/>
      <x:c r="B78" s="258"/>
      <x:c r="C78" s="258"/>
      <x:c r="D78" s="258"/>
      <x:c r="E78" s="258"/>
      <x:c r="F78" s="258"/>
      <x:c r="G78" s="258"/>
      <x:c r="H78" s="258"/>
      <x:c r="I78" s="258"/>
      <x:c r="J78" s="258"/>
      <x:c r="K78" s="258"/>
      <x:c r="L78" s="258"/>
      <x:c r="M78" s="258"/>
      <x:c r="N78" s="258"/>
      <x:c r="O78" s="258"/>
      <x:c r="P78" s="258"/>
      <x:c r="Q78" s="258"/>
      <x:c r="R78" s="258"/>
      <x:c r="S78" s="258"/>
      <x:c r="T78" s="258"/>
      <x:c r="U78" s="258"/>
      <x:c r="V78" s="258"/>
      <x:c r="W78" s="258"/>
      <x:c r="X78" s="258"/>
      <x:c r="Y78" s="258"/>
      <x:c r="Z78" s="258"/>
    </x:row>
    <x:row r="79">
      <x:c r="A79" s="258"/>
      <x:c r="B79" s="258"/>
      <x:c r="C79" s="258"/>
      <x:c r="D79" s="258"/>
      <x:c r="E79" s="258"/>
      <x:c r="F79" s="258"/>
      <x:c r="G79" s="258"/>
      <x:c r="H79" s="258"/>
      <x:c r="I79" s="258"/>
      <x:c r="J79" s="258"/>
      <x:c r="K79" s="258"/>
      <x:c r="L79" s="258"/>
      <x:c r="M79" s="258"/>
      <x:c r="N79" s="258"/>
      <x:c r="O79" s="258"/>
      <x:c r="P79" s="258"/>
      <x:c r="Q79" s="258"/>
      <x:c r="R79" s="258"/>
      <x:c r="S79" s="258"/>
      <x:c r="T79" s="258"/>
      <x:c r="U79" s="258"/>
      <x:c r="V79" s="258"/>
      <x:c r="W79" s="258"/>
      <x:c r="X79" s="258"/>
      <x:c r="Y79" s="258"/>
      <x:c r="Z79" s="258"/>
    </x:row>
    <x:row r="80">
      <x:c r="A80" s="258"/>
      <x:c r="B80" s="258"/>
      <x:c r="C80" s="258"/>
      <x:c r="D80" s="258"/>
      <x:c r="E80" s="258"/>
      <x:c r="F80" s="258"/>
      <x:c r="G80" s="258"/>
      <x:c r="H80" s="258"/>
      <x:c r="I80" s="258"/>
      <x:c r="J80" s="258"/>
      <x:c r="K80" s="258"/>
      <x:c r="L80" s="258"/>
      <x:c r="M80" s="258"/>
      <x:c r="N80" s="258"/>
      <x:c r="O80" s="258"/>
      <x:c r="P80" s="258"/>
      <x:c r="Q80" s="258"/>
      <x:c r="R80" s="258"/>
      <x:c r="S80" s="258"/>
      <x:c r="T80" s="258"/>
      <x:c r="U80" s="258"/>
      <x:c r="V80" s="258"/>
      <x:c r="W80" s="258"/>
      <x:c r="X80" s="258"/>
      <x:c r="Y80" s="258"/>
      <x:c r="Z80" s="258"/>
    </x:row>
    <x:row r="81">
      <x:c r="A81" s="258"/>
      <x:c r="B81" s="258"/>
      <x:c r="C81" s="258"/>
      <x:c r="D81" s="258"/>
      <x:c r="E81" s="258"/>
      <x:c r="F81" s="258"/>
      <x:c r="G81" s="258"/>
      <x:c r="H81" s="258"/>
      <x:c r="I81" s="258"/>
      <x:c r="J81" s="258"/>
      <x:c r="K81" s="258"/>
      <x:c r="L81" s="258"/>
      <x:c r="M81" s="258"/>
      <x:c r="N81" s="258"/>
      <x:c r="O81" s="258"/>
      <x:c r="P81" s="258"/>
      <x:c r="Q81" s="258"/>
      <x:c r="R81" s="258"/>
      <x:c r="S81" s="258"/>
      <x:c r="T81" s="258"/>
      <x:c r="U81" s="258"/>
      <x:c r="V81" s="258"/>
      <x:c r="W81" s="258"/>
      <x:c r="X81" s="258"/>
      <x:c r="Y81" s="258"/>
      <x:c r="Z81" s="258"/>
    </x:row>
    <x:row r="82">
      <x:c r="A82" s="258"/>
      <x:c r="B82" s="258"/>
      <x:c r="C82" s="258"/>
      <x:c r="D82" s="258"/>
      <x:c r="E82" s="258"/>
      <x:c r="F82" s="258"/>
      <x:c r="G82" s="258"/>
      <x:c r="H82" s="258"/>
      <x:c r="I82" s="258"/>
      <x:c r="J82" s="258"/>
      <x:c r="K82" s="258"/>
      <x:c r="L82" s="258"/>
      <x:c r="M82" s="258"/>
      <x:c r="N82" s="258"/>
      <x:c r="O82" s="258"/>
      <x:c r="P82" s="258"/>
      <x:c r="Q82" s="258"/>
      <x:c r="R82" s="258"/>
      <x:c r="S82" s="258"/>
      <x:c r="T82" s="258"/>
      <x:c r="U82" s="258"/>
      <x:c r="V82" s="258"/>
      <x:c r="W82" s="258"/>
      <x:c r="X82" s="258"/>
      <x:c r="Y82" s="258"/>
      <x:c r="Z82" s="258"/>
    </x:row>
    <x:row r="83">
      <x:c r="A83" s="258"/>
      <x:c r="B83" s="258"/>
      <x:c r="C83" s="258"/>
      <x:c r="D83" s="258"/>
      <x:c r="E83" s="258"/>
      <x:c r="F83" s="258"/>
      <x:c r="G83" s="258"/>
      <x:c r="H83" s="258"/>
      <x:c r="I83" s="258"/>
      <x:c r="J83" s="258"/>
      <x:c r="K83" s="258"/>
      <x:c r="L83" s="258"/>
      <x:c r="M83" s="258"/>
      <x:c r="N83" s="258"/>
      <x:c r="O83" s="258"/>
      <x:c r="P83" s="258"/>
      <x:c r="Q83" s="258"/>
      <x:c r="R83" s="258"/>
      <x:c r="S83" s="258"/>
      <x:c r="T83" s="258"/>
      <x:c r="U83" s="258"/>
      <x:c r="V83" s="258"/>
      <x:c r="W83" s="258"/>
      <x:c r="X83" s="258"/>
      <x:c r="Y83" s="258"/>
      <x:c r="Z83" s="258"/>
    </x:row>
    <x:row r="84">
      <x:c r="A84" s="258"/>
      <x:c r="B84" s="258"/>
      <x:c r="C84" s="258"/>
      <x:c r="D84" s="258"/>
      <x:c r="E84" s="258"/>
      <x:c r="F84" s="258"/>
      <x:c r="G84" s="258"/>
      <x:c r="H84" s="258"/>
      <x:c r="I84" s="258"/>
      <x:c r="J84" s="258"/>
      <x:c r="K84" s="258"/>
      <x:c r="L84" s="258"/>
      <x:c r="M84" s="258"/>
      <x:c r="N84" s="258"/>
      <x:c r="O84" s="258"/>
      <x:c r="P84" s="258"/>
      <x:c r="Q84" s="258"/>
      <x:c r="R84" s="258"/>
      <x:c r="S84" s="258"/>
      <x:c r="T84" s="258"/>
      <x:c r="U84" s="258"/>
      <x:c r="V84" s="258"/>
      <x:c r="W84" s="258"/>
      <x:c r="X84" s="258"/>
      <x:c r="Y84" s="258"/>
      <x:c r="Z84" s="258"/>
    </x:row>
    <x:row r="85">
      <x:c r="A85" s="258"/>
      <x:c r="B85" s="258"/>
      <x:c r="C85" s="258"/>
      <x:c r="D85" s="258"/>
      <x:c r="E85" s="258"/>
      <x:c r="F85" s="258"/>
      <x:c r="G85" s="258"/>
      <x:c r="H85" s="258"/>
      <x:c r="I85" s="258"/>
      <x:c r="J85" s="258"/>
      <x:c r="K85" s="258"/>
      <x:c r="L85" s="258"/>
      <x:c r="M85" s="258"/>
      <x:c r="N85" s="258"/>
      <x:c r="O85" s="258"/>
      <x:c r="P85" s="258"/>
      <x:c r="Q85" s="258"/>
      <x:c r="R85" s="258"/>
      <x:c r="S85" s="258"/>
      <x:c r="T85" s="258"/>
      <x:c r="U85" s="258"/>
      <x:c r="V85" s="258"/>
      <x:c r="W85" s="258"/>
      <x:c r="X85" s="258"/>
      <x:c r="Y85" s="258"/>
      <x:c r="Z85" s="258"/>
    </x:row>
    <x:row r="86">
      <x:c r="A86" s="258"/>
      <x:c r="B86" s="258"/>
      <x:c r="C86" s="258"/>
      <x:c r="D86" s="258"/>
      <x:c r="E86" s="258"/>
      <x:c r="F86" s="258"/>
      <x:c r="G86" s="258"/>
      <x:c r="H86" s="258"/>
      <x:c r="I86" s="258"/>
      <x:c r="J86" s="258"/>
      <x:c r="K86" s="258"/>
      <x:c r="L86" s="258"/>
      <x:c r="M86" s="258"/>
      <x:c r="N86" s="258"/>
      <x:c r="O86" s="258"/>
      <x:c r="P86" s="258"/>
      <x:c r="Q86" s="258"/>
      <x:c r="R86" s="258"/>
      <x:c r="S86" s="258"/>
      <x:c r="T86" s="258"/>
      <x:c r="U86" s="258"/>
      <x:c r="V86" s="258"/>
      <x:c r="W86" s="258"/>
      <x:c r="X86" s="258"/>
      <x:c r="Y86" s="258"/>
      <x:c r="Z86" s="258"/>
    </x:row>
    <x:row r="87">
      <x:c r="A87" s="258"/>
      <x:c r="B87" s="258"/>
      <x:c r="C87" s="258"/>
      <x:c r="D87" s="258"/>
      <x:c r="E87" s="258"/>
      <x:c r="F87" s="258"/>
      <x:c r="G87" s="258"/>
      <x:c r="H87" s="258"/>
      <x:c r="I87" s="258"/>
      <x:c r="J87" s="258"/>
      <x:c r="K87" s="258"/>
      <x:c r="L87" s="258"/>
      <x:c r="M87" s="258"/>
      <x:c r="N87" s="258"/>
      <x:c r="O87" s="258"/>
      <x:c r="P87" s="258"/>
      <x:c r="Q87" s="258"/>
      <x:c r="R87" s="258"/>
      <x:c r="S87" s="258"/>
      <x:c r="T87" s="258"/>
      <x:c r="U87" s="258"/>
      <x:c r="V87" s="258"/>
      <x:c r="W87" s="258"/>
      <x:c r="X87" s="258"/>
      <x:c r="Y87" s="258"/>
      <x:c r="Z87" s="258"/>
    </x:row>
    <x:row r="88">
      <x:c r="A88" s="258"/>
      <x:c r="B88" s="258"/>
      <x:c r="C88" s="258"/>
      <x:c r="D88" s="258"/>
      <x:c r="E88" s="258"/>
      <x:c r="F88" s="258"/>
      <x:c r="G88" s="258"/>
      <x:c r="H88" s="258"/>
      <x:c r="I88" s="258"/>
      <x:c r="J88" s="258"/>
      <x:c r="K88" s="258"/>
      <x:c r="L88" s="258"/>
      <x:c r="M88" s="258"/>
      <x:c r="N88" s="258"/>
      <x:c r="O88" s="258"/>
      <x:c r="P88" s="258"/>
      <x:c r="Q88" s="258"/>
      <x:c r="R88" s="258"/>
      <x:c r="S88" s="258"/>
      <x:c r="T88" s="258"/>
      <x:c r="U88" s="258"/>
      <x:c r="V88" s="258"/>
      <x:c r="W88" s="258"/>
      <x:c r="X88" s="258"/>
      <x:c r="Y88" s="258"/>
      <x:c r="Z88" s="258"/>
    </x:row>
    <x:row r="89">
      <x:c r="A89" s="258"/>
      <x:c r="B89" s="258"/>
      <x:c r="C89" s="258"/>
      <x:c r="D89" s="258"/>
      <x:c r="E89" s="258"/>
      <x:c r="F89" s="258"/>
      <x:c r="G89" s="258"/>
      <x:c r="H89" s="258"/>
      <x:c r="I89" s="258"/>
      <x:c r="J89" s="258"/>
      <x:c r="K89" s="258"/>
      <x:c r="L89" s="258"/>
      <x:c r="M89" s="258"/>
      <x:c r="N89" s="258"/>
      <x:c r="O89" s="258"/>
      <x:c r="P89" s="258"/>
      <x:c r="Q89" s="258"/>
      <x:c r="R89" s="258"/>
      <x:c r="S89" s="258"/>
      <x:c r="T89" s="258"/>
      <x:c r="U89" s="258"/>
      <x:c r="V89" s="258"/>
      <x:c r="W89" s="258"/>
      <x:c r="X89" s="258"/>
      <x:c r="Y89" s="258"/>
      <x:c r="Z89" s="258"/>
    </x:row>
    <x:row r="90">
      <x:c r="A90" s="258"/>
      <x:c r="B90" s="258"/>
      <x:c r="C90" s="258"/>
      <x:c r="D90" s="258"/>
      <x:c r="E90" s="258"/>
      <x:c r="F90" s="258"/>
      <x:c r="G90" s="258"/>
      <x:c r="H90" s="258"/>
      <x:c r="I90" s="258"/>
      <x:c r="J90" s="258"/>
      <x:c r="K90" s="258"/>
      <x:c r="L90" s="258"/>
      <x:c r="M90" s="258"/>
      <x:c r="N90" s="258"/>
      <x:c r="O90" s="258"/>
      <x:c r="P90" s="258"/>
      <x:c r="Q90" s="258"/>
      <x:c r="R90" s="258"/>
      <x:c r="S90" s="258"/>
      <x:c r="T90" s="258"/>
      <x:c r="U90" s="258"/>
      <x:c r="V90" s="258"/>
      <x:c r="W90" s="258"/>
      <x:c r="X90" s="258"/>
      <x:c r="Y90" s="258"/>
      <x:c r="Z90" s="258"/>
    </x:row>
    <x:row r="91">
      <x:c r="A91" s="258"/>
      <x:c r="B91" s="258"/>
      <x:c r="C91" s="258"/>
      <x:c r="D91" s="258"/>
      <x:c r="E91" s="258"/>
      <x:c r="F91" s="258"/>
      <x:c r="G91" s="258"/>
      <x:c r="H91" s="258"/>
      <x:c r="I91" s="258"/>
      <x:c r="J91" s="258"/>
      <x:c r="K91" s="258"/>
      <x:c r="L91" s="258"/>
      <x:c r="M91" s="258"/>
      <x:c r="N91" s="258"/>
      <x:c r="O91" s="258"/>
      <x:c r="P91" s="258"/>
      <x:c r="Q91" s="258"/>
      <x:c r="R91" s="258"/>
      <x:c r="S91" s="258"/>
      <x:c r="T91" s="258"/>
      <x:c r="U91" s="258"/>
      <x:c r="V91" s="258"/>
      <x:c r="W91" s="258"/>
      <x:c r="X91" s="258"/>
      <x:c r="Y91" s="258"/>
      <x:c r="Z91" s="258"/>
    </x:row>
    <x:row r="92">
      <x:c r="A92" s="258"/>
      <x:c r="B92" s="258"/>
      <x:c r="C92" s="258"/>
      <x:c r="D92" s="258"/>
      <x:c r="E92" s="258"/>
      <x:c r="F92" s="258"/>
      <x:c r="G92" s="258"/>
      <x:c r="H92" s="258"/>
      <x:c r="I92" s="258"/>
      <x:c r="J92" s="258"/>
      <x:c r="K92" s="258"/>
      <x:c r="L92" s="258"/>
      <x:c r="M92" s="258"/>
      <x:c r="N92" s="258"/>
      <x:c r="O92" s="258"/>
      <x:c r="P92" s="258"/>
      <x:c r="Q92" s="258"/>
      <x:c r="R92" s="258"/>
      <x:c r="S92" s="258"/>
      <x:c r="T92" s="258"/>
      <x:c r="U92" s="258"/>
      <x:c r="V92" s="258"/>
      <x:c r="W92" s="258"/>
      <x:c r="X92" s="258"/>
      <x:c r="Y92" s="258"/>
      <x:c r="Z92" s="258"/>
    </x:row>
    <x:row r="93">
      <x:c r="A93" s="258"/>
      <x:c r="B93" s="258"/>
      <x:c r="C93" s="258"/>
      <x:c r="D93" s="258"/>
      <x:c r="E93" s="258"/>
      <x:c r="F93" s="258"/>
      <x:c r="G93" s="258"/>
      <x:c r="H93" s="258"/>
      <x:c r="I93" s="258"/>
      <x:c r="J93" s="258"/>
      <x:c r="K93" s="258"/>
      <x:c r="L93" s="258"/>
      <x:c r="M93" s="258"/>
      <x:c r="N93" s="258"/>
      <x:c r="O93" s="258"/>
      <x:c r="P93" s="258"/>
      <x:c r="Q93" s="258"/>
      <x:c r="R93" s="258"/>
      <x:c r="S93" s="258"/>
      <x:c r="T93" s="258"/>
      <x:c r="U93" s="258"/>
      <x:c r="V93" s="258"/>
      <x:c r="W93" s="258"/>
      <x:c r="X93" s="258"/>
      <x:c r="Y93" s="258"/>
      <x:c r="Z93" s="258"/>
    </x:row>
    <x:row r="94">
      <x:c r="A94" s="258"/>
      <x:c r="B94" s="258"/>
      <x:c r="C94" s="258"/>
      <x:c r="D94" s="258"/>
      <x:c r="E94" s="258"/>
      <x:c r="F94" s="258"/>
      <x:c r="G94" s="258"/>
      <x:c r="H94" s="258"/>
      <x:c r="I94" s="258"/>
      <x:c r="J94" s="258"/>
      <x:c r="K94" s="258"/>
      <x:c r="L94" s="258"/>
      <x:c r="M94" s="258"/>
      <x:c r="N94" s="258"/>
      <x:c r="O94" s="258"/>
      <x:c r="P94" s="258"/>
      <x:c r="Q94" s="258"/>
      <x:c r="R94" s="258"/>
      <x:c r="S94" s="258"/>
      <x:c r="T94" s="258"/>
      <x:c r="U94" s="258"/>
      <x:c r="V94" s="258"/>
      <x:c r="W94" s="258"/>
      <x:c r="X94" s="258"/>
      <x:c r="Y94" s="258"/>
      <x:c r="Z94" s="258"/>
    </x:row>
    <x:row r="95">
      <x:c r="A95" s="258"/>
      <x:c r="B95" s="258"/>
      <x:c r="C95" s="258"/>
      <x:c r="D95" s="258"/>
      <x:c r="E95" s="258"/>
      <x:c r="F95" s="258"/>
      <x:c r="G95" s="258"/>
      <x:c r="H95" s="258"/>
      <x:c r="I95" s="258"/>
      <x:c r="J95" s="258"/>
      <x:c r="K95" s="258"/>
      <x:c r="L95" s="258"/>
      <x:c r="M95" s="258"/>
      <x:c r="N95" s="258"/>
      <x:c r="O95" s="258"/>
      <x:c r="P95" s="258"/>
      <x:c r="Q95" s="258"/>
      <x:c r="R95" s="258"/>
      <x:c r="S95" s="258"/>
      <x:c r="T95" s="258"/>
      <x:c r="U95" s="258"/>
      <x:c r="V95" s="258"/>
      <x:c r="W95" s="258"/>
      <x:c r="X95" s="258"/>
      <x:c r="Y95" s="258"/>
      <x:c r="Z95" s="258"/>
    </x:row>
    <x:row r="96">
      <x:c r="A96" s="258"/>
      <x:c r="B96" s="258"/>
      <x:c r="C96" s="258"/>
      <x:c r="D96" s="258"/>
      <x:c r="E96" s="258"/>
      <x:c r="F96" s="258"/>
      <x:c r="G96" s="258"/>
      <x:c r="H96" s="258"/>
      <x:c r="I96" s="258"/>
      <x:c r="J96" s="258"/>
      <x:c r="K96" s="258"/>
      <x:c r="L96" s="258"/>
      <x:c r="M96" s="258"/>
      <x:c r="N96" s="258"/>
      <x:c r="O96" s="258"/>
      <x:c r="P96" s="258"/>
      <x:c r="Q96" s="258"/>
      <x:c r="R96" s="258"/>
      <x:c r="S96" s="258"/>
      <x:c r="T96" s="258"/>
      <x:c r="U96" s="258"/>
      <x:c r="V96" s="258"/>
      <x:c r="W96" s="258"/>
      <x:c r="X96" s="258"/>
      <x:c r="Y96" s="258"/>
      <x:c r="Z96" s="258"/>
    </x:row>
    <x:row r="97">
      <x:c r="A97" s="258"/>
      <x:c r="B97" s="258"/>
      <x:c r="C97" s="258"/>
      <x:c r="D97" s="258"/>
      <x:c r="E97" s="258"/>
      <x:c r="F97" s="258"/>
      <x:c r="G97" s="258"/>
      <x:c r="H97" s="258"/>
      <x:c r="I97" s="258"/>
      <x:c r="J97" s="258"/>
      <x:c r="K97" s="258"/>
      <x:c r="L97" s="258"/>
      <x:c r="M97" s="258"/>
      <x:c r="N97" s="258"/>
      <x:c r="O97" s="258"/>
      <x:c r="P97" s="258"/>
      <x:c r="Q97" s="258"/>
      <x:c r="R97" s="258"/>
      <x:c r="S97" s="258"/>
      <x:c r="T97" s="258"/>
      <x:c r="U97" s="258"/>
      <x:c r="V97" s="258"/>
      <x:c r="W97" s="258"/>
      <x:c r="X97" s="258"/>
      <x:c r="Y97" s="258"/>
      <x:c r="Z97" s="258"/>
    </x:row>
    <x:row r="98">
      <x:c r="A98" s="258"/>
      <x:c r="B98" s="258"/>
      <x:c r="C98" s="258"/>
      <x:c r="D98" s="258"/>
      <x:c r="E98" s="258"/>
      <x:c r="F98" s="258"/>
      <x:c r="G98" s="258"/>
      <x:c r="H98" s="258"/>
      <x:c r="I98" s="258"/>
      <x:c r="J98" s="258"/>
      <x:c r="K98" s="258"/>
      <x:c r="L98" s="258"/>
      <x:c r="M98" s="258"/>
      <x:c r="N98" s="258"/>
      <x:c r="O98" s="258"/>
      <x:c r="P98" s="258"/>
      <x:c r="Q98" s="258"/>
      <x:c r="R98" s="258"/>
      <x:c r="S98" s="258"/>
      <x:c r="T98" s="258"/>
      <x:c r="U98" s="258"/>
      <x:c r="V98" s="258"/>
      <x:c r="W98" s="258"/>
      <x:c r="X98" s="258"/>
      <x:c r="Y98" s="258"/>
      <x:c r="Z98" s="258"/>
    </x:row>
    <x:row r="99">
      <x:c r="A99" s="258"/>
      <x:c r="B99" s="258"/>
      <x:c r="C99" s="258"/>
      <x:c r="D99" s="258"/>
      <x:c r="E99" s="258"/>
      <x:c r="F99" s="258"/>
      <x:c r="G99" s="258"/>
      <x:c r="H99" s="258"/>
      <x:c r="I99" s="258"/>
      <x:c r="J99" s="258"/>
      <x:c r="K99" s="258"/>
      <x:c r="L99" s="258"/>
      <x:c r="M99" s="258"/>
      <x:c r="N99" s="258"/>
      <x:c r="O99" s="258"/>
      <x:c r="P99" s="258"/>
      <x:c r="Q99" s="258"/>
      <x:c r="R99" s="258"/>
      <x:c r="S99" s="258"/>
      <x:c r="T99" s="258"/>
      <x:c r="U99" s="258"/>
      <x:c r="V99" s="258"/>
      <x:c r="W99" s="258"/>
      <x:c r="X99" s="258"/>
      <x:c r="Y99" s="258"/>
      <x:c r="Z99" s="258"/>
    </x:row>
    <x:row r="100">
      <x:c r="A100" s="258"/>
      <x:c r="B100" s="258"/>
      <x:c r="C100" s="258"/>
      <x:c r="D100" s="258"/>
      <x:c r="E100" s="258"/>
      <x:c r="F100" s="258"/>
      <x:c r="G100" s="258"/>
      <x:c r="H100" s="258"/>
      <x:c r="I100" s="258"/>
      <x:c r="J100" s="258"/>
      <x:c r="K100" s="258"/>
      <x:c r="L100" s="258"/>
      <x:c r="M100" s="258"/>
      <x:c r="N100" s="258"/>
      <x:c r="O100" s="258"/>
      <x:c r="P100" s="258"/>
      <x:c r="Q100" s="258"/>
      <x:c r="R100" s="258"/>
      <x:c r="S100" s="258"/>
      <x:c r="T100" s="258"/>
      <x:c r="U100" s="258"/>
      <x:c r="V100" s="258"/>
      <x:c r="W100" s="258"/>
      <x:c r="X100" s="258"/>
      <x:c r="Y100" s="258"/>
      <x:c r="Z100" s="258"/>
    </x:row>
  </x:sheetData>
  <x:mergeCells>
    <x:mergeCell ref="A1:J1"/>
    <x:mergeCell ref="A3:C3"/>
    <x:mergeCell ref="E3:G3"/>
  </x:mergeCells>
  <x:conditionalFormatting sqref="G9:G18">
    <x:cfRule type="dataBar" priority="1">
      <x:dataBar>
        <x:cfvo type="min"/>
        <x:cfvo type="max"/>
        <x:color rgb="16A34A"/>
      </x:dataBar>
      <x:extLst>
        <x:ext xmlns:x14="http://schemas.microsoft.com/office/spreadsheetml/2009/9/main" uri="{B025F937-C7B1-47D3-B67F-A62EFF666E3E}">
          <x14:id>{5172DCC4-69FB-1365-5A10-9FB7B68A4D25}</x14:id>
        </x:ext>
      </x:extLst>
    </x:cfRule>
  </x:conditionalFormatting>
  <x:pageMargins left="0.7" right="0.7" top="0.75" bottom="0.75" header="0.3" footer="0.3"/>
  <x:drawing xmlns:r="http://schemas.openxmlformats.org/officeDocument/2006/relationships" r:id="Rd6c3791d43b94b7b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5172DCC4-69FB-1365-5A10-9FB7B68A4D25}">
            <x14:dataBar gradient="1">
              <x14:cfvo type="min"/>
              <x14:cfvo type="max"/>
              <x14:fillColor rgb="16A34A"/>
            </x14:dataBar>
          </x14:cfRule>
          <xm:sqref>G9:G18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.649999618530273" hidden="0" customWidth="1"/>
    <x:col min="3" max="3" width="13.59000015258789" hidden="0" customWidth="1"/>
    <x:col min="4" max="4" width="8.75" hidden="0" customWidth="1"/>
    <x:col min="5" max="5" width="8.75" hidden="0" customWidth="1"/>
    <x:col min="6" max="6" width="3.9000000953674316" hidden="0" customWidth="1"/>
    <x:col min="7" max="7" width="6.590000152587891" hidden="0" customWidth="1"/>
    <x:col min="8" max="8" width="10" hidden="0" customWidth="1"/>
  </x:cols>
  <x:sheetData>
    <x:row r="1" ht="34" customHeight="1">
      <x:c r="A1" s="5" t="str">
        <x:v>SWEEPSTAKE PLAYERS</x:v>
      </x:c>
      <x:c r="B1" s="5"/>
      <x:c r="C1" s="5"/>
      <x:c r="D1" s="5"/>
      <x:c r="E1" s="5"/>
      <x:c r="F1" s="5"/>
      <x:c r="G1" s="5"/>
      <x:c r="H1" s="258"/>
      <x:c r="I1" s="258"/>
      <x:c r="J1" s="258"/>
      <x:c r="K1" s="258"/>
      <x:c r="L1" s="258"/>
      <x:c r="M1" s="258"/>
      <x:c r="N1" s="258"/>
      <x:c r="O1" s="258"/>
      <x:c r="P1" s="258"/>
      <x:c r="Q1" s="258"/>
      <x:c r="R1" s="258"/>
      <x:c r="S1" s="258"/>
      <x:c r="T1" s="258"/>
      <x:c r="U1" s="258"/>
      <x:c r="V1" s="258"/>
      <x:c r="W1" s="258"/>
      <x:c r="X1" s="258"/>
      <x:c r="Y1" s="258"/>
      <x:c r="Z1" s="258"/>
    </x:row>
    <x:row r="2">
      <x:c r="A2" s="258"/>
      <x:c r="B2" s="258"/>
      <x:c r="C2" s="258"/>
      <x:c r="D2" s="258"/>
      <x:c r="E2" s="258"/>
      <x:c r="F2" s="258"/>
      <x:c r="G2" s="258"/>
      <x:c r="H2" s="258"/>
      <x:c r="I2" s="258"/>
      <x:c r="J2" s="258"/>
      <x:c r="K2" s="258"/>
      <x:c r="L2" s="258"/>
      <x:c r="M2" s="258"/>
      <x:c r="N2" s="258"/>
      <x:c r="O2" s="258"/>
      <x:c r="P2" s="258"/>
      <x:c r="Q2" s="258"/>
      <x:c r="R2" s="258"/>
      <x:c r="S2" s="258"/>
      <x:c r="T2" s="258"/>
      <x:c r="U2" s="258"/>
      <x:c r="V2" s="258"/>
      <x:c r="W2" s="258"/>
      <x:c r="X2" s="258"/>
      <x:c r="Y2" s="258"/>
      <x:c r="Z2" s="258"/>
    </x:row>
    <x:row r="3">
      <x:c r="A3" s="284" t="str">
        <x:v>Player</x:v>
      </x:c>
      <x:c r="B3" s="285" t="str">
        <x:v>Team 1</x:v>
      </x:c>
      <x:c r="C3" s="285" t="str">
        <x:v>Team 2</x:v>
      </x:c>
      <x:c r="D3" s="285" t="str">
        <x:v>Team 1 Pts</x:v>
      </x:c>
      <x:c r="E3" s="285" t="str">
        <x:v>Team 2 Pts</x:v>
      </x:c>
      <x:c r="F3" s="285" t="str">
        <x:v>Total</x:v>
      </x:c>
      <x:c r="G3" s="286" t="str">
        <x:v>Position</x:v>
      </x:c>
      <x:c r="H3" s="356" t="str">
        <x:v>Sort Key</x:v>
      </x:c>
      <x:c r="I3" s="258"/>
      <x:c r="J3" s="258"/>
      <x:c r="K3" s="258"/>
      <x:c r="L3" s="258"/>
      <x:c r="M3" s="258"/>
      <x:c r="N3" s="258"/>
      <x:c r="O3" s="258"/>
      <x:c r="P3" s="258"/>
      <x:c r="Q3" s="258"/>
      <x:c r="R3" s="258"/>
      <x:c r="S3" s="258"/>
      <x:c r="T3" s="258"/>
      <x:c r="U3" s="258"/>
      <x:c r="V3" s="258"/>
      <x:c r="W3" s="258"/>
      <x:c r="X3" s="258"/>
      <x:c r="Y3" s="258"/>
      <x:c r="Z3" s="258"/>
    </x:row>
    <x:row r="4">
      <x:c r="A4" s="287" t="str">
        <x:v>Gail</x:v>
      </x:c>
      <x:c r="B4" s="265" t="str">
        <x:v>🇳🇱 Netherlands</x:v>
      </x:c>
      <x:c r="C4" s="265" t="str">
        <x:v>🇮🇷 Iran</x:v>
      </x:c>
      <x:c r="D4" s="265" t="n">
        <x:f>IFERROR(VLOOKUP(B4,'⚽ Results Entry'!$A$4:$H$23,8,FALSE),0)</x:f>
        <x:v>0</x:v>
      </x:c>
      <x:c r="E4" s="265" t="n">
        <x:f>IFERROR(VLOOKUP(C4,'⚽ Results Entry'!$A$4:$H$23,8,FALSE),0)</x:f>
        <x:v>0</x:v>
      </x:c>
      <x:c r="F4" s="288" t="n">
        <x:f>SUM(D4:E4)</x:f>
        <x:v>0</x:v>
      </x:c>
      <x:c r="G4" s="289" t="n">
        <x:f>RANK.EQ(F4,$F$4:$F$13,0)</x:f>
        <x:v>1</x:v>
      </x:c>
      <x:c r="H4" s="361" t="n">
        <x:f>RANK.EQ(F4,$F$4:$F$13,0)+COUNTIF($F$4:F4,F4)-1</x:f>
        <x:v>1</x:v>
      </x:c>
      <x:c r="I4" s="258"/>
      <x:c r="J4" s="258"/>
      <x:c r="K4" s="258"/>
      <x:c r="L4" s="258"/>
      <x:c r="M4" s="258"/>
      <x:c r="N4" s="258"/>
      <x:c r="O4" s="258"/>
      <x:c r="P4" s="258"/>
      <x:c r="Q4" s="258"/>
      <x:c r="R4" s="258"/>
      <x:c r="S4" s="258"/>
      <x:c r="T4" s="258"/>
      <x:c r="U4" s="258"/>
      <x:c r="V4" s="258"/>
      <x:c r="W4" s="258"/>
      <x:c r="X4" s="258"/>
      <x:c r="Y4" s="258"/>
      <x:c r="Z4" s="258"/>
    </x:row>
    <x:row r="5">
      <x:c r="A5" s="287" t="str">
        <x:v>Pas</x:v>
      </x:c>
      <x:c r="B5" s="265" t="str">
        <x:v>🇧🇷 Brazil</x:v>
      </x:c>
      <x:c r="C5" s="265" t="str">
        <x:v>🇦🇹 Austria</x:v>
      </x:c>
      <x:c r="D5" s="265" t="n">
        <x:f>IFERROR(VLOOKUP(B5,'⚽ Results Entry'!$A$4:$H$23,8,FALSE),0)</x:f>
        <x:v>0</x:v>
      </x:c>
      <x:c r="E5" s="265" t="n">
        <x:f>IFERROR(VLOOKUP(C5,'⚽ Results Entry'!$A$4:$H$23,8,FALSE),0)</x:f>
        <x:v>0</x:v>
      </x:c>
      <x:c r="F5" s="288" t="n">
        <x:f>SUM(D5:E5)</x:f>
        <x:v>0</x:v>
      </x:c>
      <x:c r="G5" s="289" t="n">
        <x:f>RANK.EQ(F5,$F$4:$F$13,0)</x:f>
        <x:v>1</x:v>
      </x:c>
      <x:c r="H5" s="361" t="n">
        <x:f>RANK.EQ(F5,$F$4:$F$13,0)+COUNTIF($F$4:F5,F5)-1</x:f>
        <x:v>2</x:v>
      </x:c>
      <x:c r="I5" s="258"/>
      <x:c r="J5" s="258"/>
      <x:c r="K5" s="258"/>
      <x:c r="L5" s="258"/>
      <x:c r="M5" s="258"/>
      <x:c r="N5" s="258"/>
      <x:c r="O5" s="258"/>
      <x:c r="P5" s="258"/>
      <x:c r="Q5" s="258"/>
      <x:c r="R5" s="258"/>
      <x:c r="S5" s="258"/>
      <x:c r="T5" s="258"/>
      <x:c r="U5" s="258"/>
      <x:c r="V5" s="258"/>
      <x:c r="W5" s="258"/>
      <x:c r="X5" s="258"/>
      <x:c r="Y5" s="258"/>
      <x:c r="Z5" s="258"/>
    </x:row>
    <x:row r="6">
      <x:c r="A6" s="287" t="str">
        <x:v>Jack</x:v>
      </x:c>
      <x:c r="B6" s="265" t="str">
        <x:v>🇩🇪 Germany</x:v>
      </x:c>
      <x:c r="C6" s="265" t="str">
        <x:v>🇲🇽 Mexico</x:v>
      </x:c>
      <x:c r="D6" s="265" t="n">
        <x:f>IFERROR(VLOOKUP(B6,'⚽ Results Entry'!$A$4:$H$23,8,FALSE),0)</x:f>
        <x:v>0</x:v>
      </x:c>
      <x:c r="E6" s="265" t="n">
        <x:f>IFERROR(VLOOKUP(C6,'⚽ Results Entry'!$A$4:$H$23,8,FALSE),0)</x:f>
        <x:v>0</x:v>
      </x:c>
      <x:c r="F6" s="288" t="n">
        <x:f>SUM(D6:E6)</x:f>
        <x:v>0</x:v>
      </x:c>
      <x:c r="G6" s="289" t="n">
        <x:f>RANK.EQ(F6,$F$4:$F$13,0)</x:f>
        <x:v>1</x:v>
      </x:c>
      <x:c r="H6" s="361" t="n">
        <x:f>RANK.EQ(F6,$F$4:$F$13,0)+COUNTIF($F$4:F6,F6)-1</x:f>
        <x:v>3</x:v>
      </x:c>
      <x:c r="I6" s="258"/>
      <x:c r="J6" s="258"/>
      <x:c r="K6" s="258"/>
      <x:c r="L6" s="258"/>
      <x:c r="M6" s="258"/>
      <x:c r="N6" s="258"/>
      <x:c r="O6" s="258"/>
      <x:c r="P6" s="258"/>
      <x:c r="Q6" s="258"/>
      <x:c r="R6" s="258"/>
      <x:c r="S6" s="258"/>
      <x:c r="T6" s="258"/>
      <x:c r="U6" s="258"/>
      <x:c r="V6" s="258"/>
      <x:c r="W6" s="258"/>
      <x:c r="X6" s="258"/>
      <x:c r="Y6" s="258"/>
      <x:c r="Z6" s="258"/>
    </x:row>
    <x:row r="7">
      <x:c r="A7" s="287" t="str">
        <x:v>Billy</x:v>
      </x:c>
      <x:c r="B7" s="265" t="str">
        <x:v>🇵🇹 Portugal</x:v>
      </x:c>
      <x:c r="C7" s="265" t="str">
        <x:v>🇨🇭 Switzerland</x:v>
      </x:c>
      <x:c r="D7" s="265" t="n">
        <x:f>IFERROR(VLOOKUP(B7,'⚽ Results Entry'!$A$4:$H$23,8,FALSE),0)</x:f>
        <x:v>0</x:v>
      </x:c>
      <x:c r="E7" s="265" t="n">
        <x:f>IFERROR(VLOOKUP(C7,'⚽ Results Entry'!$A$4:$H$23,8,FALSE),0)</x:f>
        <x:v>0</x:v>
      </x:c>
      <x:c r="F7" s="288" t="n">
        <x:f>SUM(D7:E7)</x:f>
        <x:v>0</x:v>
      </x:c>
      <x:c r="G7" s="289" t="n">
        <x:f>RANK.EQ(F7,$F$4:$F$13,0)</x:f>
        <x:v>1</x:v>
      </x:c>
      <x:c r="H7" s="361" t="n">
        <x:f>RANK.EQ(F7,$F$4:$F$13,0)+COUNTIF($F$4:F7,F7)-1</x:f>
        <x:v>4</x:v>
      </x:c>
      <x:c r="I7" s="258"/>
      <x:c r="J7" s="258"/>
      <x:c r="K7" s="258"/>
      <x:c r="L7" s="258"/>
      <x:c r="M7" s="258"/>
      <x:c r="N7" s="258"/>
      <x:c r="O7" s="258"/>
      <x:c r="P7" s="258"/>
      <x:c r="Q7" s="258"/>
      <x:c r="R7" s="258"/>
      <x:c r="S7" s="258"/>
      <x:c r="T7" s="258"/>
      <x:c r="U7" s="258"/>
      <x:c r="V7" s="258"/>
      <x:c r="W7" s="258"/>
      <x:c r="X7" s="258"/>
      <x:c r="Y7" s="258"/>
      <x:c r="Z7" s="258"/>
    </x:row>
    <x:row r="8">
      <x:c r="A8" s="287" t="str">
        <x:v>Josh</x:v>
      </x:c>
      <x:c r="B8" s="265" t="str">
        <x:v>🇧🇪 Belgium</x:v>
      </x:c>
      <x:c r="C8" s="265" t="str">
        <x:v>🇳🇴 Norway</x:v>
      </x:c>
      <x:c r="D8" s="265" t="n">
        <x:f>IFERROR(VLOOKUP(B8,'⚽ Results Entry'!$A$4:$H$23,8,FALSE),0)</x:f>
        <x:v>0</x:v>
      </x:c>
      <x:c r="E8" s="265" t="n">
        <x:f>IFERROR(VLOOKUP(C8,'⚽ Results Entry'!$A$4:$H$23,8,FALSE),0)</x:f>
        <x:v>0</x:v>
      </x:c>
      <x:c r="F8" s="288" t="n">
        <x:f>SUM(D8:E8)</x:f>
        <x:v>0</x:v>
      </x:c>
      <x:c r="G8" s="289" t="n">
        <x:f>RANK.EQ(F8,$F$4:$F$13,0)</x:f>
        <x:v>1</x:v>
      </x:c>
      <x:c r="H8" s="361" t="n">
        <x:f>RANK.EQ(F8,$F$4:$F$13,0)+COUNTIF($F$4:F8,F8)-1</x:f>
        <x:v>5</x:v>
      </x:c>
      <x:c r="I8" s="258"/>
      <x:c r="J8" s="258"/>
      <x:c r="K8" s="258"/>
      <x:c r="L8" s="258"/>
      <x:c r="M8" s="258"/>
      <x:c r="N8" s="258"/>
      <x:c r="O8" s="258"/>
      <x:c r="P8" s="258"/>
      <x:c r="Q8" s="258"/>
      <x:c r="R8" s="258"/>
      <x:c r="S8" s="258"/>
      <x:c r="T8" s="258"/>
      <x:c r="U8" s="258"/>
      <x:c r="V8" s="258"/>
      <x:c r="W8" s="258"/>
      <x:c r="X8" s="258"/>
      <x:c r="Y8" s="258"/>
      <x:c r="Z8" s="258"/>
    </x:row>
    <x:row r="9">
      <x:c r="A9" s="287" t="str">
        <x:v>Kathryn</x:v>
      </x:c>
      <x:c r="B9" s="265" t="str">
        <x:v>🏴 England</x:v>
      </x:c>
      <x:c r="C9" s="265" t="str">
        <x:v>🇯🇵 Japan</x:v>
      </x:c>
      <x:c r="D9" s="265" t="n">
        <x:f>IFERROR(VLOOKUP(B9,'⚽ Results Entry'!$A$4:$H$23,8,FALSE),0)</x:f>
        <x:v>0</x:v>
      </x:c>
      <x:c r="E9" s="265" t="n">
        <x:f>IFERROR(VLOOKUP(C9,'⚽ Results Entry'!$A$4:$H$23,8,FALSE),0)</x:f>
        <x:v>0</x:v>
      </x:c>
      <x:c r="F9" s="288" t="n">
        <x:f>SUM(D9:E9)</x:f>
        <x:v>0</x:v>
      </x:c>
      <x:c r="G9" s="289" t="n">
        <x:f>RANK.EQ(F9,$F$4:$F$13,0)</x:f>
        <x:v>1</x:v>
      </x:c>
      <x:c r="H9" s="361" t="n">
        <x:f>RANK.EQ(F9,$F$4:$F$13,0)+COUNTIF($F$4:F9,F9)-1</x:f>
        <x:v>6</x:v>
      </x:c>
      <x:c r="I9" s="258"/>
      <x:c r="J9" s="258"/>
      <x:c r="K9" s="258"/>
      <x:c r="L9" s="258"/>
      <x:c r="M9" s="258"/>
      <x:c r="N9" s="258"/>
      <x:c r="O9" s="258"/>
      <x:c r="P9" s="258"/>
      <x:c r="Q9" s="258"/>
      <x:c r="R9" s="258"/>
      <x:c r="S9" s="258"/>
      <x:c r="T9" s="258"/>
      <x:c r="U9" s="258"/>
      <x:c r="V9" s="258"/>
      <x:c r="W9" s="258"/>
      <x:c r="X9" s="258"/>
      <x:c r="Y9" s="258"/>
      <x:c r="Z9" s="258"/>
    </x:row>
    <x:row r="10">
      <x:c r="A10" s="287" t="str">
        <x:v>Joanne</x:v>
      </x:c>
      <x:c r="B10" s="265" t="str">
        <x:v>🇭🇷 Croatia</x:v>
      </x:c>
      <x:c r="C10" s="265" t="str">
        <x:v>🇵🇾 Paraguay</x:v>
      </x:c>
      <x:c r="D10" s="265" t="n">
        <x:f>IFERROR(VLOOKUP(B10,'⚽ Results Entry'!$A$4:$H$23,8,FALSE),0)</x:f>
        <x:v>0</x:v>
      </x:c>
      <x:c r="E10" s="265" t="n">
        <x:f>IFERROR(VLOOKUP(C10,'⚽ Results Entry'!$A$4:$H$23,8,FALSE),0)</x:f>
        <x:v>0</x:v>
      </x:c>
      <x:c r="F10" s="288" t="n">
        <x:f>SUM(D10:E10)</x:f>
        <x:v>0</x:v>
      </x:c>
      <x:c r="G10" s="289" t="n">
        <x:f>RANK.EQ(F10,$F$4:$F$13,0)</x:f>
        <x:v>1</x:v>
      </x:c>
      <x:c r="H10" s="361" t="n">
        <x:f>RANK.EQ(F10,$F$4:$F$13,0)+COUNTIF($F$4:F10,F10)-1</x:f>
        <x:v>7</x:v>
      </x:c>
      <x:c r="I10" s="258"/>
      <x:c r="J10" s="258"/>
      <x:c r="K10" s="258"/>
      <x:c r="L10" s="258"/>
      <x:c r="M10" s="258"/>
      <x:c r="N10" s="258"/>
      <x:c r="O10" s="258"/>
      <x:c r="P10" s="258"/>
      <x:c r="Q10" s="258"/>
      <x:c r="R10" s="258"/>
      <x:c r="S10" s="258"/>
      <x:c r="T10" s="258"/>
      <x:c r="U10" s="258"/>
      <x:c r="V10" s="258"/>
      <x:c r="W10" s="258"/>
      <x:c r="X10" s="258"/>
      <x:c r="Y10" s="258"/>
      <x:c r="Z10" s="258"/>
    </x:row>
    <x:row r="11">
      <x:c r="A11" s="287" t="str">
        <x:v>Neil</x:v>
      </x:c>
      <x:c r="B11" s="265" t="str">
        <x:v>🇲🇦 Morocco</x:v>
      </x:c>
      <x:c r="C11" s="265" t="str">
        <x:v>🇺🇸 United States</x:v>
      </x:c>
      <x:c r="D11" s="265" t="n">
        <x:f>IFERROR(VLOOKUP(B11,'⚽ Results Entry'!$A$4:$H$23,8,FALSE),0)</x:f>
        <x:v>0</x:v>
      </x:c>
      <x:c r="E11" s="265" t="n">
        <x:f>IFERROR(VLOOKUP(C11,'⚽ Results Entry'!$A$4:$H$23,8,FALSE),0)</x:f>
        <x:v>0</x:v>
      </x:c>
      <x:c r="F11" s="288" t="n">
        <x:f>SUM(D11:E11)</x:f>
        <x:v>0</x:v>
      </x:c>
      <x:c r="G11" s="289" t="n">
        <x:f>RANK.EQ(F11,$F$4:$F$13,0)</x:f>
        <x:v>1</x:v>
      </x:c>
      <x:c r="H11" s="361" t="n">
        <x:f>RANK.EQ(F11,$F$4:$F$13,0)+COUNTIF($F$4:F11,F11)-1</x:f>
        <x:v>8</x:v>
      </x:c>
      <x:c r="I11" s="258"/>
      <x:c r="J11" s="258"/>
      <x:c r="K11" s="258"/>
      <x:c r="L11" s="258"/>
      <x:c r="M11" s="258"/>
      <x:c r="N11" s="258"/>
      <x:c r="O11" s="258"/>
      <x:c r="P11" s="258"/>
      <x:c r="Q11" s="258"/>
      <x:c r="R11" s="258"/>
      <x:c r="S11" s="258"/>
      <x:c r="T11" s="258"/>
      <x:c r="U11" s="258"/>
      <x:c r="V11" s="258"/>
      <x:c r="W11" s="258"/>
      <x:c r="X11" s="258"/>
      <x:c r="Y11" s="258"/>
      <x:c r="Z11" s="258"/>
    </x:row>
    <x:row r="12">
      <x:c r="A12" s="287" t="str">
        <x:v>Hayley</x:v>
      </x:c>
      <x:c r="B12" s="265" t="str">
        <x:v>🇨🇴 Colombia</x:v>
      </x:c>
      <x:c r="C12" s="265" t="str">
        <x:v>🇹🇷 Türkiye</x:v>
      </x:c>
      <x:c r="D12" s="265" t="n">
        <x:f>IFERROR(VLOOKUP(B12,'⚽ Results Entry'!$A$4:$H$23,8,FALSE),0)</x:f>
        <x:v>0</x:v>
      </x:c>
      <x:c r="E12" s="265" t="n">
        <x:f>IFERROR(VLOOKUP(C12,'⚽ Results Entry'!$A$4:$H$23,8,FALSE),0)</x:f>
        <x:v>0</x:v>
      </x:c>
      <x:c r="F12" s="288" t="n">
        <x:f>SUM(D12:E12)</x:f>
        <x:v>0</x:v>
      </x:c>
      <x:c r="G12" s="289" t="n">
        <x:f>RANK.EQ(F12,$F$4:$F$13,0)</x:f>
        <x:v>1</x:v>
      </x:c>
      <x:c r="H12" s="361" t="n">
        <x:f>RANK.EQ(F12,$F$4:$F$13,0)+COUNTIF($F$4:F12,F12)-1</x:f>
        <x:v>9</x:v>
      </x:c>
      <x:c r="I12" s="258"/>
      <x:c r="J12" s="258"/>
      <x:c r="K12" s="258"/>
      <x:c r="L12" s="258"/>
      <x:c r="M12" s="258"/>
      <x:c r="N12" s="258"/>
      <x:c r="O12" s="258"/>
      <x:c r="P12" s="258"/>
      <x:c r="Q12" s="258"/>
      <x:c r="R12" s="258"/>
      <x:c r="S12" s="258"/>
      <x:c r="T12" s="258"/>
      <x:c r="U12" s="258"/>
      <x:c r="V12" s="258"/>
      <x:c r="W12" s="258"/>
      <x:c r="X12" s="258"/>
      <x:c r="Y12" s="258"/>
      <x:c r="Z12" s="258"/>
    </x:row>
    <x:row r="13">
      <x:c r="A13" s="290" t="str">
        <x:v>Becca</x:v>
      </x:c>
      <x:c r="B13" s="269" t="str">
        <x:v>🇸🇳 Senegal</x:v>
      </x:c>
      <x:c r="C13" s="269" t="str">
        <x:v>🇺🇾 Uruguay</x:v>
      </x:c>
      <x:c r="D13" s="269" t="n">
        <x:f>IFERROR(VLOOKUP(B13,'⚽ Results Entry'!$A$4:$H$23,8,FALSE),0)</x:f>
        <x:v>0</x:v>
      </x:c>
      <x:c r="E13" s="269" t="n">
        <x:f>IFERROR(VLOOKUP(C13,'⚽ Results Entry'!$A$4:$H$23,8,FALSE),0)</x:f>
        <x:v>0</x:v>
      </x:c>
      <x:c r="F13" s="291" t="n">
        <x:f>SUM(D13:E13)</x:f>
        <x:v>0</x:v>
      </x:c>
      <x:c r="G13" s="292" t="n">
        <x:f>RANK.EQ(F13,$F$4:$F$13,0)</x:f>
        <x:v>1</x:v>
      </x:c>
      <x:c r="H13" s="361" t="n">
        <x:f>RANK.EQ(F13,$F$4:$F$13,0)+COUNTIF($F$4:F13,F13)-1</x:f>
        <x:v>10</x:v>
      </x:c>
      <x:c r="I13" s="258"/>
      <x:c r="J13" s="258"/>
      <x:c r="K13" s="258"/>
      <x:c r="L13" s="258"/>
      <x:c r="M13" s="258"/>
      <x:c r="N13" s="258"/>
      <x:c r="O13" s="258"/>
      <x:c r="P13" s="258"/>
      <x:c r="Q13" s="258"/>
      <x:c r="R13" s="258"/>
      <x:c r="S13" s="258"/>
      <x:c r="T13" s="258"/>
      <x:c r="U13" s="258"/>
      <x:c r="V13" s="258"/>
      <x:c r="W13" s="258"/>
      <x:c r="X13" s="258"/>
      <x:c r="Y13" s="258"/>
      <x:c r="Z13" s="258"/>
    </x:row>
    <x:row r="14">
      <x:c r="A14" s="258"/>
      <x:c r="B14" s="258"/>
      <x:c r="C14" s="258"/>
      <x:c r="D14" s="258"/>
      <x:c r="E14" s="258"/>
      <x:c r="F14" s="258"/>
      <x:c r="G14" s="258"/>
      <x:c r="H14" s="258"/>
      <x:c r="I14" s="258"/>
      <x:c r="J14" s="258"/>
      <x:c r="K14" s="258"/>
      <x:c r="L14" s="258"/>
      <x:c r="M14" s="258"/>
      <x:c r="N14" s="258"/>
      <x:c r="O14" s="258"/>
      <x:c r="P14" s="258"/>
      <x:c r="Q14" s="258"/>
      <x:c r="R14" s="258"/>
      <x:c r="S14" s="258"/>
      <x:c r="T14" s="258"/>
      <x:c r="U14" s="258"/>
      <x:c r="V14" s="258"/>
      <x:c r="W14" s="258"/>
      <x:c r="X14" s="258"/>
      <x:c r="Y14" s="258"/>
      <x:c r="Z14" s="258"/>
    </x:row>
    <x:row r="15">
      <x:c r="A15" s="258"/>
      <x:c r="B15" s="258"/>
      <x:c r="C15" s="258"/>
      <x:c r="D15" s="258"/>
      <x:c r="E15" s="258"/>
      <x:c r="F15" s="258"/>
      <x:c r="G15" s="258"/>
      <x:c r="H15" s="258"/>
      <x:c r="I15" s="258"/>
      <x:c r="J15" s="258"/>
      <x:c r="K15" s="258"/>
      <x:c r="L15" s="258"/>
      <x:c r="M15" s="258"/>
      <x:c r="N15" s="258"/>
      <x:c r="O15" s="258"/>
      <x:c r="P15" s="258"/>
      <x:c r="Q15" s="258"/>
      <x:c r="R15" s="258"/>
      <x:c r="S15" s="258"/>
      <x:c r="T15" s="258"/>
      <x:c r="U15" s="258"/>
      <x:c r="V15" s="258"/>
      <x:c r="W15" s="258"/>
      <x:c r="X15" s="258"/>
      <x:c r="Y15" s="258"/>
      <x:c r="Z15" s="258"/>
    </x:row>
    <x:row r="16">
      <x:c r="A16" s="258"/>
      <x:c r="B16" s="258"/>
      <x:c r="C16" s="258"/>
      <x:c r="D16" s="258"/>
      <x:c r="E16" s="258"/>
      <x:c r="F16" s="258"/>
      <x:c r="G16" s="258"/>
      <x:c r="H16" s="258"/>
      <x:c r="I16" s="258"/>
      <x:c r="J16" s="258"/>
      <x:c r="K16" s="258"/>
      <x:c r="L16" s="258"/>
      <x:c r="M16" s="258"/>
      <x:c r="N16" s="258"/>
      <x:c r="O16" s="258"/>
      <x:c r="P16" s="258"/>
      <x:c r="Q16" s="258"/>
      <x:c r="R16" s="258"/>
      <x:c r="S16" s="258"/>
      <x:c r="T16" s="258"/>
      <x:c r="U16" s="258"/>
      <x:c r="V16" s="258"/>
      <x:c r="W16" s="258"/>
      <x:c r="X16" s="258"/>
      <x:c r="Y16" s="258"/>
      <x:c r="Z16" s="258"/>
    </x:row>
    <x:row r="17">
      <x:c r="A17" s="258"/>
      <x:c r="B17" s="258"/>
      <x:c r="C17" s="258"/>
      <x:c r="D17" s="258"/>
      <x:c r="E17" s="258"/>
      <x:c r="F17" s="258"/>
      <x:c r="G17" s="258"/>
      <x:c r="H17" s="258"/>
      <x:c r="I17" s="258"/>
      <x:c r="J17" s="258"/>
      <x:c r="K17" s="258"/>
      <x:c r="L17" s="258"/>
      <x:c r="M17" s="258"/>
      <x:c r="N17" s="258"/>
      <x:c r="O17" s="258"/>
      <x:c r="P17" s="258"/>
      <x:c r="Q17" s="258"/>
      <x:c r="R17" s="258"/>
      <x:c r="S17" s="258"/>
      <x:c r="T17" s="258"/>
      <x:c r="U17" s="258"/>
      <x:c r="V17" s="258"/>
      <x:c r="W17" s="258"/>
      <x:c r="X17" s="258"/>
      <x:c r="Y17" s="258"/>
      <x:c r="Z17" s="258"/>
    </x:row>
    <x:row r="18">
      <x:c r="A18" s="258"/>
      <x:c r="B18" s="258"/>
      <x:c r="C18" s="258"/>
      <x:c r="D18" s="258"/>
      <x:c r="E18" s="258"/>
      <x:c r="F18" s="258"/>
      <x:c r="G18" s="258"/>
      <x:c r="H18" s="258"/>
      <x:c r="I18" s="258"/>
      <x:c r="J18" s="258"/>
      <x:c r="K18" s="258"/>
      <x:c r="L18" s="258"/>
      <x:c r="M18" s="258"/>
      <x:c r="N18" s="258"/>
      <x:c r="O18" s="258"/>
      <x:c r="P18" s="258"/>
      <x:c r="Q18" s="258"/>
      <x:c r="R18" s="258"/>
      <x:c r="S18" s="258"/>
      <x:c r="T18" s="258"/>
      <x:c r="U18" s="258"/>
      <x:c r="V18" s="258"/>
      <x:c r="W18" s="258"/>
      <x:c r="X18" s="258"/>
      <x:c r="Y18" s="258"/>
      <x:c r="Z18" s="258"/>
    </x:row>
    <x:row r="19">
      <x:c r="A19" s="258"/>
      <x:c r="B19" s="258"/>
      <x:c r="C19" s="258"/>
      <x:c r="D19" s="258"/>
      <x:c r="E19" s="258"/>
      <x:c r="F19" s="258"/>
      <x:c r="G19" s="258"/>
      <x:c r="H19" s="258"/>
      <x:c r="I19" s="258"/>
      <x:c r="J19" s="258"/>
      <x:c r="K19" s="258"/>
      <x:c r="L19" s="258"/>
      <x:c r="M19" s="258"/>
      <x:c r="N19" s="258"/>
      <x:c r="O19" s="258"/>
      <x:c r="P19" s="258"/>
      <x:c r="Q19" s="258"/>
      <x:c r="R19" s="258"/>
      <x:c r="S19" s="258"/>
      <x:c r="T19" s="258"/>
      <x:c r="U19" s="258"/>
      <x:c r="V19" s="258"/>
      <x:c r="W19" s="258"/>
      <x:c r="X19" s="258"/>
      <x:c r="Y19" s="258"/>
      <x:c r="Z19" s="258"/>
    </x:row>
    <x:row r="20">
      <x:c r="A20" s="258"/>
      <x:c r="B20" s="258"/>
      <x:c r="C20" s="258"/>
      <x:c r="D20" s="258"/>
      <x:c r="E20" s="258"/>
      <x:c r="F20" s="258"/>
      <x:c r="G20" s="258"/>
      <x:c r="H20" s="258"/>
      <x:c r="I20" s="258"/>
      <x:c r="J20" s="258"/>
      <x:c r="K20" s="258"/>
      <x:c r="L20" s="258"/>
      <x:c r="M20" s="258"/>
      <x:c r="N20" s="258"/>
      <x:c r="O20" s="258"/>
      <x:c r="P20" s="258"/>
      <x:c r="Q20" s="258"/>
      <x:c r="R20" s="258"/>
      <x:c r="S20" s="258"/>
      <x:c r="T20" s="258"/>
      <x:c r="U20" s="258"/>
      <x:c r="V20" s="258"/>
      <x:c r="W20" s="258"/>
      <x:c r="X20" s="258"/>
      <x:c r="Y20" s="258"/>
      <x:c r="Z20" s="258"/>
    </x:row>
    <x:row r="21">
      <x:c r="A21" s="258"/>
      <x:c r="B21" s="258"/>
      <x:c r="C21" s="258"/>
      <x:c r="D21" s="258"/>
      <x:c r="E21" s="258"/>
      <x:c r="F21" s="258"/>
      <x:c r="G21" s="258"/>
      <x:c r="H21" s="258"/>
      <x:c r="I21" s="258"/>
      <x:c r="J21" s="258"/>
      <x:c r="K21" s="258"/>
      <x:c r="L21" s="258"/>
      <x:c r="M21" s="258"/>
      <x:c r="N21" s="258"/>
      <x:c r="O21" s="258"/>
      <x:c r="P21" s="258"/>
      <x:c r="Q21" s="258"/>
      <x:c r="R21" s="258"/>
      <x:c r="S21" s="258"/>
      <x:c r="T21" s="258"/>
      <x:c r="U21" s="258"/>
      <x:c r="V21" s="258"/>
      <x:c r="W21" s="258"/>
      <x:c r="X21" s="258"/>
      <x:c r="Y21" s="258"/>
      <x:c r="Z21" s="258"/>
    </x:row>
    <x:row r="22">
      <x:c r="A22" s="258"/>
      <x:c r="B22" s="258"/>
      <x:c r="C22" s="258"/>
      <x:c r="D22" s="258"/>
      <x:c r="E22" s="258"/>
      <x:c r="F22" s="258"/>
      <x:c r="G22" s="258"/>
      <x:c r="H22" s="258"/>
      <x:c r="I22" s="258"/>
      <x:c r="J22" s="258"/>
      <x:c r="K22" s="258"/>
      <x:c r="L22" s="258"/>
      <x:c r="M22" s="258"/>
      <x:c r="N22" s="258"/>
      <x:c r="O22" s="258"/>
      <x:c r="P22" s="258"/>
      <x:c r="Q22" s="258"/>
      <x:c r="R22" s="258"/>
      <x:c r="S22" s="258"/>
      <x:c r="T22" s="258"/>
      <x:c r="U22" s="258"/>
      <x:c r="V22" s="258"/>
      <x:c r="W22" s="258"/>
      <x:c r="X22" s="258"/>
      <x:c r="Y22" s="258"/>
      <x:c r="Z22" s="258"/>
    </x:row>
    <x:row r="23">
      <x:c r="A23" s="258"/>
      <x:c r="B23" s="258"/>
      <x:c r="C23" s="258"/>
      <x:c r="D23" s="258"/>
      <x:c r="E23" s="258"/>
      <x:c r="F23" s="258"/>
      <x:c r="G23" s="258"/>
      <x:c r="H23" s="258"/>
      <x:c r="I23" s="258"/>
      <x:c r="J23" s="258"/>
      <x:c r="K23" s="258"/>
      <x:c r="L23" s="258"/>
      <x:c r="M23" s="258"/>
      <x:c r="N23" s="258"/>
      <x:c r="O23" s="258"/>
      <x:c r="P23" s="258"/>
      <x:c r="Q23" s="258"/>
      <x:c r="R23" s="258"/>
      <x:c r="S23" s="258"/>
      <x:c r="T23" s="258"/>
      <x:c r="U23" s="258"/>
      <x:c r="V23" s="258"/>
      <x:c r="W23" s="258"/>
      <x:c r="X23" s="258"/>
      <x:c r="Y23" s="258"/>
      <x:c r="Z23" s="258"/>
    </x:row>
    <x:row r="24">
      <x:c r="A24" s="258"/>
      <x:c r="B24" s="258"/>
      <x:c r="C24" s="258"/>
      <x:c r="D24" s="258"/>
      <x:c r="E24" s="258"/>
      <x:c r="F24" s="258"/>
      <x:c r="G24" s="258"/>
      <x:c r="H24" s="258"/>
      <x:c r="I24" s="258"/>
      <x:c r="J24" s="258"/>
      <x:c r="K24" s="258"/>
      <x:c r="L24" s="258"/>
      <x:c r="M24" s="258"/>
      <x:c r="N24" s="258"/>
      <x:c r="O24" s="258"/>
      <x:c r="P24" s="258"/>
      <x:c r="Q24" s="258"/>
      <x:c r="R24" s="258"/>
      <x:c r="S24" s="258"/>
      <x:c r="T24" s="258"/>
      <x:c r="U24" s="258"/>
      <x:c r="V24" s="258"/>
      <x:c r="W24" s="258"/>
      <x:c r="X24" s="258"/>
      <x:c r="Y24" s="258"/>
      <x:c r="Z24" s="258"/>
    </x:row>
    <x:row r="25">
      <x:c r="A25" s="258"/>
      <x:c r="B25" s="258"/>
      <x:c r="C25" s="258"/>
      <x:c r="D25" s="258"/>
      <x:c r="E25" s="258"/>
      <x:c r="F25" s="258"/>
      <x:c r="G25" s="258"/>
      <x:c r="H25" s="258"/>
      <x:c r="I25" s="258"/>
      <x:c r="J25" s="258"/>
      <x:c r="K25" s="258"/>
      <x:c r="L25" s="258"/>
      <x:c r="M25" s="258"/>
      <x:c r="N25" s="258"/>
      <x:c r="O25" s="258"/>
      <x:c r="P25" s="258"/>
      <x:c r="Q25" s="258"/>
      <x:c r="R25" s="258"/>
      <x:c r="S25" s="258"/>
      <x:c r="T25" s="258"/>
      <x:c r="U25" s="258"/>
      <x:c r="V25" s="258"/>
      <x:c r="W25" s="258"/>
      <x:c r="X25" s="258"/>
      <x:c r="Y25" s="258"/>
      <x:c r="Z25" s="258"/>
    </x:row>
    <x:row r="26">
      <x:c r="A26" s="258"/>
      <x:c r="B26" s="258"/>
      <x:c r="C26" s="258"/>
      <x:c r="D26" s="258"/>
      <x:c r="E26" s="258"/>
      <x:c r="F26" s="258"/>
      <x:c r="G26" s="258"/>
      <x:c r="H26" s="258"/>
      <x:c r="I26" s="258"/>
      <x:c r="J26" s="258"/>
      <x:c r="K26" s="258"/>
      <x:c r="L26" s="258"/>
      <x:c r="M26" s="258"/>
      <x:c r="N26" s="258"/>
      <x:c r="O26" s="258"/>
      <x:c r="P26" s="258"/>
      <x:c r="Q26" s="258"/>
      <x:c r="R26" s="258"/>
      <x:c r="S26" s="258"/>
      <x:c r="T26" s="258"/>
      <x:c r="U26" s="258"/>
      <x:c r="V26" s="258"/>
      <x:c r="W26" s="258"/>
      <x:c r="X26" s="258"/>
      <x:c r="Y26" s="258"/>
      <x:c r="Z26" s="258"/>
    </x:row>
    <x:row r="27">
      <x:c r="A27" s="258"/>
      <x:c r="B27" s="258"/>
      <x:c r="C27" s="258"/>
      <x:c r="D27" s="258"/>
      <x:c r="E27" s="258"/>
      <x:c r="F27" s="258"/>
      <x:c r="G27" s="258"/>
      <x:c r="H27" s="258"/>
      <x:c r="I27" s="258"/>
      <x:c r="J27" s="258"/>
      <x:c r="K27" s="258"/>
      <x:c r="L27" s="258"/>
      <x:c r="M27" s="258"/>
      <x:c r="N27" s="258"/>
      <x:c r="O27" s="258"/>
      <x:c r="P27" s="258"/>
      <x:c r="Q27" s="258"/>
      <x:c r="R27" s="258"/>
      <x:c r="S27" s="258"/>
      <x:c r="T27" s="258"/>
      <x:c r="U27" s="258"/>
      <x:c r="V27" s="258"/>
      <x:c r="W27" s="258"/>
      <x:c r="X27" s="258"/>
      <x:c r="Y27" s="258"/>
      <x:c r="Z27" s="258"/>
    </x:row>
    <x:row r="28">
      <x:c r="A28" s="258"/>
      <x:c r="B28" s="258"/>
      <x:c r="C28" s="258"/>
      <x:c r="D28" s="258"/>
      <x:c r="E28" s="258"/>
      <x:c r="F28" s="258"/>
      <x:c r="G28" s="258"/>
      <x:c r="H28" s="258"/>
      <x:c r="I28" s="258"/>
      <x:c r="J28" s="258"/>
      <x:c r="K28" s="258"/>
      <x:c r="L28" s="258"/>
      <x:c r="M28" s="258"/>
      <x:c r="N28" s="258"/>
      <x:c r="O28" s="258"/>
      <x:c r="P28" s="258"/>
      <x:c r="Q28" s="258"/>
      <x:c r="R28" s="258"/>
      <x:c r="S28" s="258"/>
      <x:c r="T28" s="258"/>
      <x:c r="U28" s="258"/>
      <x:c r="V28" s="258"/>
      <x:c r="W28" s="258"/>
      <x:c r="X28" s="258"/>
      <x:c r="Y28" s="258"/>
      <x:c r="Z28" s="258"/>
    </x:row>
    <x:row r="29">
      <x:c r="A29" s="258"/>
      <x:c r="B29" s="258"/>
      <x:c r="C29" s="258"/>
      <x:c r="D29" s="258"/>
      <x:c r="E29" s="258"/>
      <x:c r="F29" s="258"/>
      <x:c r="G29" s="258"/>
      <x:c r="H29" s="258"/>
      <x:c r="I29" s="258"/>
      <x:c r="J29" s="258"/>
      <x:c r="K29" s="258"/>
      <x:c r="L29" s="258"/>
      <x:c r="M29" s="258"/>
      <x:c r="N29" s="258"/>
      <x:c r="O29" s="258"/>
      <x:c r="P29" s="258"/>
      <x:c r="Q29" s="258"/>
      <x:c r="R29" s="258"/>
      <x:c r="S29" s="258"/>
      <x:c r="T29" s="258"/>
      <x:c r="U29" s="258"/>
      <x:c r="V29" s="258"/>
      <x:c r="W29" s="258"/>
      <x:c r="X29" s="258"/>
      <x:c r="Y29" s="258"/>
      <x:c r="Z29" s="258"/>
    </x:row>
    <x:row r="30">
      <x:c r="A30" s="258"/>
      <x:c r="B30" s="258"/>
      <x:c r="C30" s="258"/>
      <x:c r="D30" s="258"/>
      <x:c r="E30" s="258"/>
      <x:c r="F30" s="258"/>
      <x:c r="G30" s="258"/>
      <x:c r="H30" s="258"/>
      <x:c r="I30" s="258"/>
      <x:c r="J30" s="258"/>
      <x:c r="K30" s="258"/>
      <x:c r="L30" s="258"/>
      <x:c r="M30" s="258"/>
      <x:c r="N30" s="258"/>
      <x:c r="O30" s="258"/>
      <x:c r="P30" s="258"/>
      <x:c r="Q30" s="258"/>
      <x:c r="R30" s="258"/>
      <x:c r="S30" s="258"/>
      <x:c r="T30" s="258"/>
      <x:c r="U30" s="258"/>
      <x:c r="V30" s="258"/>
      <x:c r="W30" s="258"/>
      <x:c r="X30" s="258"/>
      <x:c r="Y30" s="258"/>
      <x:c r="Z30" s="258"/>
    </x:row>
    <x:row r="31">
      <x:c r="A31" s="258"/>
      <x:c r="B31" s="258"/>
      <x:c r="C31" s="258"/>
      <x:c r="D31" s="258"/>
      <x:c r="E31" s="258"/>
      <x:c r="F31" s="258"/>
      <x:c r="G31" s="258"/>
      <x:c r="H31" s="258"/>
      <x:c r="I31" s="258"/>
      <x:c r="J31" s="258"/>
      <x:c r="K31" s="258"/>
      <x:c r="L31" s="258"/>
      <x:c r="M31" s="258"/>
      <x:c r="N31" s="258"/>
      <x:c r="O31" s="258"/>
      <x:c r="P31" s="258"/>
      <x:c r="Q31" s="258"/>
      <x:c r="R31" s="258"/>
      <x:c r="S31" s="258"/>
      <x:c r="T31" s="258"/>
      <x:c r="U31" s="258"/>
      <x:c r="V31" s="258"/>
      <x:c r="W31" s="258"/>
      <x:c r="X31" s="258"/>
      <x:c r="Y31" s="258"/>
      <x:c r="Z31" s="258"/>
    </x:row>
    <x:row r="32">
      <x:c r="A32" s="258"/>
      <x:c r="B32" s="258"/>
      <x:c r="C32" s="258"/>
      <x:c r="D32" s="258"/>
      <x:c r="E32" s="258"/>
      <x:c r="F32" s="258"/>
      <x:c r="G32" s="258"/>
      <x:c r="H32" s="258"/>
      <x:c r="I32" s="258"/>
      <x:c r="J32" s="258"/>
      <x:c r="K32" s="258"/>
      <x:c r="L32" s="258"/>
      <x:c r="M32" s="258"/>
      <x:c r="N32" s="258"/>
      <x:c r="O32" s="258"/>
      <x:c r="P32" s="258"/>
      <x:c r="Q32" s="258"/>
      <x:c r="R32" s="258"/>
      <x:c r="S32" s="258"/>
      <x:c r="T32" s="258"/>
      <x:c r="U32" s="258"/>
      <x:c r="V32" s="258"/>
      <x:c r="W32" s="258"/>
      <x:c r="X32" s="258"/>
      <x:c r="Y32" s="258"/>
      <x:c r="Z32" s="258"/>
    </x:row>
    <x:row r="33">
      <x:c r="A33" s="258"/>
      <x:c r="B33" s="258"/>
      <x:c r="C33" s="258"/>
      <x:c r="D33" s="258"/>
      <x:c r="E33" s="258"/>
      <x:c r="F33" s="258"/>
      <x:c r="G33" s="258"/>
      <x:c r="H33" s="258"/>
      <x:c r="I33" s="258"/>
      <x:c r="J33" s="258"/>
      <x:c r="K33" s="258"/>
      <x:c r="L33" s="258"/>
      <x:c r="M33" s="258"/>
      <x:c r="N33" s="258"/>
      <x:c r="O33" s="258"/>
      <x:c r="P33" s="258"/>
      <x:c r="Q33" s="258"/>
      <x:c r="R33" s="258"/>
      <x:c r="S33" s="258"/>
      <x:c r="T33" s="258"/>
      <x:c r="U33" s="258"/>
      <x:c r="V33" s="258"/>
      <x:c r="W33" s="258"/>
      <x:c r="X33" s="258"/>
      <x:c r="Y33" s="258"/>
      <x:c r="Z33" s="258"/>
    </x:row>
    <x:row r="34">
      <x:c r="A34" s="258"/>
      <x:c r="B34" s="258"/>
      <x:c r="C34" s="258"/>
      <x:c r="D34" s="258"/>
      <x:c r="E34" s="258"/>
      <x:c r="F34" s="258"/>
      <x:c r="G34" s="258"/>
      <x:c r="H34" s="258"/>
      <x:c r="I34" s="258"/>
      <x:c r="J34" s="258"/>
      <x:c r="K34" s="258"/>
      <x:c r="L34" s="258"/>
      <x:c r="M34" s="258"/>
      <x:c r="N34" s="258"/>
      <x:c r="O34" s="258"/>
      <x:c r="P34" s="258"/>
      <x:c r="Q34" s="258"/>
      <x:c r="R34" s="258"/>
      <x:c r="S34" s="258"/>
      <x:c r="T34" s="258"/>
      <x:c r="U34" s="258"/>
      <x:c r="V34" s="258"/>
      <x:c r="W34" s="258"/>
      <x:c r="X34" s="258"/>
      <x:c r="Y34" s="258"/>
      <x:c r="Z34" s="258"/>
    </x:row>
    <x:row r="35">
      <x:c r="A35" s="258"/>
      <x:c r="B35" s="258"/>
      <x:c r="C35" s="258"/>
      <x:c r="D35" s="258"/>
      <x:c r="E35" s="258"/>
      <x:c r="F35" s="258"/>
      <x:c r="G35" s="258"/>
      <x:c r="H35" s="258"/>
      <x:c r="I35" s="258"/>
      <x:c r="J35" s="258"/>
      <x:c r="K35" s="258"/>
      <x:c r="L35" s="258"/>
      <x:c r="M35" s="258"/>
      <x:c r="N35" s="258"/>
      <x:c r="O35" s="258"/>
      <x:c r="P35" s="258"/>
      <x:c r="Q35" s="258"/>
      <x:c r="R35" s="258"/>
      <x:c r="S35" s="258"/>
      <x:c r="T35" s="258"/>
      <x:c r="U35" s="258"/>
      <x:c r="V35" s="258"/>
      <x:c r="W35" s="258"/>
      <x:c r="X35" s="258"/>
      <x:c r="Y35" s="258"/>
      <x:c r="Z35" s="258"/>
    </x:row>
    <x:row r="36">
      <x:c r="A36" s="258"/>
      <x:c r="B36" s="258"/>
      <x:c r="C36" s="258"/>
      <x:c r="D36" s="258"/>
      <x:c r="E36" s="258"/>
      <x:c r="F36" s="258"/>
      <x:c r="G36" s="258"/>
      <x:c r="H36" s="258"/>
      <x:c r="I36" s="258"/>
      <x:c r="J36" s="258"/>
      <x:c r="K36" s="258"/>
      <x:c r="L36" s="258"/>
      <x:c r="M36" s="258"/>
      <x:c r="N36" s="258"/>
      <x:c r="O36" s="258"/>
      <x:c r="P36" s="258"/>
      <x:c r="Q36" s="258"/>
      <x:c r="R36" s="258"/>
      <x:c r="S36" s="258"/>
      <x:c r="T36" s="258"/>
      <x:c r="U36" s="258"/>
      <x:c r="V36" s="258"/>
      <x:c r="W36" s="258"/>
      <x:c r="X36" s="258"/>
      <x:c r="Y36" s="258"/>
      <x:c r="Z36" s="258"/>
    </x:row>
    <x:row r="37">
      <x:c r="A37" s="258"/>
      <x:c r="B37" s="258"/>
      <x:c r="C37" s="258"/>
      <x:c r="D37" s="258"/>
      <x:c r="E37" s="258"/>
      <x:c r="F37" s="258"/>
      <x:c r="G37" s="258"/>
      <x:c r="H37" s="258"/>
      <x:c r="I37" s="258"/>
      <x:c r="J37" s="258"/>
      <x:c r="K37" s="258"/>
      <x:c r="L37" s="258"/>
      <x:c r="M37" s="258"/>
      <x:c r="N37" s="258"/>
      <x:c r="O37" s="258"/>
      <x:c r="P37" s="258"/>
      <x:c r="Q37" s="258"/>
      <x:c r="R37" s="258"/>
      <x:c r="S37" s="258"/>
      <x:c r="T37" s="258"/>
      <x:c r="U37" s="258"/>
      <x:c r="V37" s="258"/>
      <x:c r="W37" s="258"/>
      <x:c r="X37" s="258"/>
      <x:c r="Y37" s="258"/>
      <x:c r="Z37" s="258"/>
    </x:row>
    <x:row r="38">
      <x:c r="A38" s="258"/>
      <x:c r="B38" s="258"/>
      <x:c r="C38" s="258"/>
      <x:c r="D38" s="258"/>
      <x:c r="E38" s="258"/>
      <x:c r="F38" s="258"/>
      <x:c r="G38" s="258"/>
      <x:c r="H38" s="258"/>
      <x:c r="I38" s="258"/>
      <x:c r="J38" s="258"/>
      <x:c r="K38" s="258"/>
      <x:c r="L38" s="258"/>
      <x:c r="M38" s="258"/>
      <x:c r="N38" s="258"/>
      <x:c r="O38" s="258"/>
      <x:c r="P38" s="258"/>
      <x:c r="Q38" s="258"/>
      <x:c r="R38" s="258"/>
      <x:c r="S38" s="258"/>
      <x:c r="T38" s="258"/>
      <x:c r="U38" s="258"/>
      <x:c r="V38" s="258"/>
      <x:c r="W38" s="258"/>
      <x:c r="X38" s="258"/>
      <x:c r="Y38" s="258"/>
      <x:c r="Z38" s="258"/>
    </x:row>
    <x:row r="39">
      <x:c r="A39" s="258"/>
      <x:c r="B39" s="258"/>
      <x:c r="C39" s="258"/>
      <x:c r="D39" s="258"/>
      <x:c r="E39" s="258"/>
      <x:c r="F39" s="258"/>
      <x:c r="G39" s="258"/>
      <x:c r="H39" s="258"/>
      <x:c r="I39" s="258"/>
      <x:c r="J39" s="258"/>
      <x:c r="K39" s="258"/>
      <x:c r="L39" s="258"/>
      <x:c r="M39" s="258"/>
      <x:c r="N39" s="258"/>
      <x:c r="O39" s="258"/>
      <x:c r="P39" s="258"/>
      <x:c r="Q39" s="258"/>
      <x:c r="R39" s="258"/>
      <x:c r="S39" s="258"/>
      <x:c r="T39" s="258"/>
      <x:c r="U39" s="258"/>
      <x:c r="V39" s="258"/>
      <x:c r="W39" s="258"/>
      <x:c r="X39" s="258"/>
      <x:c r="Y39" s="258"/>
      <x:c r="Z39" s="258"/>
    </x:row>
    <x:row r="40">
      <x:c r="A40" s="258"/>
      <x:c r="B40" s="258"/>
      <x:c r="C40" s="258"/>
      <x:c r="D40" s="258"/>
      <x:c r="E40" s="258"/>
      <x:c r="F40" s="258"/>
      <x:c r="G40" s="258"/>
      <x:c r="H40" s="258"/>
      <x:c r="I40" s="258"/>
      <x:c r="J40" s="258"/>
      <x:c r="K40" s="258"/>
      <x:c r="L40" s="258"/>
      <x:c r="M40" s="258"/>
      <x:c r="N40" s="258"/>
      <x:c r="O40" s="258"/>
      <x:c r="P40" s="258"/>
      <x:c r="Q40" s="258"/>
      <x:c r="R40" s="258"/>
      <x:c r="S40" s="258"/>
      <x:c r="T40" s="258"/>
      <x:c r="U40" s="258"/>
      <x:c r="V40" s="258"/>
      <x:c r="W40" s="258"/>
      <x:c r="X40" s="258"/>
      <x:c r="Y40" s="258"/>
      <x:c r="Z40" s="258"/>
    </x:row>
    <x:row r="41">
      <x:c r="A41" s="258"/>
      <x:c r="B41" s="258"/>
      <x:c r="C41" s="258"/>
      <x:c r="D41" s="258"/>
      <x:c r="E41" s="258"/>
      <x:c r="F41" s="258"/>
      <x:c r="G41" s="258"/>
      <x:c r="H41" s="258"/>
      <x:c r="I41" s="258"/>
      <x:c r="J41" s="258"/>
      <x:c r="K41" s="258"/>
      <x:c r="L41" s="258"/>
      <x:c r="M41" s="258"/>
      <x:c r="N41" s="258"/>
      <x:c r="O41" s="258"/>
      <x:c r="P41" s="258"/>
      <x:c r="Q41" s="258"/>
      <x:c r="R41" s="258"/>
      <x:c r="S41" s="258"/>
      <x:c r="T41" s="258"/>
      <x:c r="U41" s="258"/>
      <x:c r="V41" s="258"/>
      <x:c r="W41" s="258"/>
      <x:c r="X41" s="258"/>
      <x:c r="Y41" s="258"/>
      <x:c r="Z41" s="258"/>
    </x:row>
    <x:row r="42">
      <x:c r="A42" s="258"/>
      <x:c r="B42" s="258"/>
      <x:c r="C42" s="258"/>
      <x:c r="D42" s="258"/>
      <x:c r="E42" s="258"/>
      <x:c r="F42" s="258"/>
      <x:c r="G42" s="258"/>
      <x:c r="H42" s="258"/>
      <x:c r="I42" s="258"/>
      <x:c r="J42" s="258"/>
      <x:c r="K42" s="258"/>
      <x:c r="L42" s="258"/>
      <x:c r="M42" s="258"/>
      <x:c r="N42" s="258"/>
      <x:c r="O42" s="258"/>
      <x:c r="P42" s="258"/>
      <x:c r="Q42" s="258"/>
      <x:c r="R42" s="258"/>
      <x:c r="S42" s="258"/>
      <x:c r="T42" s="258"/>
      <x:c r="U42" s="258"/>
      <x:c r="V42" s="258"/>
      <x:c r="W42" s="258"/>
      <x:c r="X42" s="258"/>
      <x:c r="Y42" s="258"/>
      <x:c r="Z42" s="258"/>
    </x:row>
    <x:row r="43">
      <x:c r="A43" s="258"/>
      <x:c r="B43" s="258"/>
      <x:c r="C43" s="258"/>
      <x:c r="D43" s="258"/>
      <x:c r="E43" s="258"/>
      <x:c r="F43" s="258"/>
      <x:c r="G43" s="258"/>
      <x:c r="H43" s="258"/>
      <x:c r="I43" s="258"/>
      <x:c r="J43" s="258"/>
      <x:c r="K43" s="258"/>
      <x:c r="L43" s="258"/>
      <x:c r="M43" s="258"/>
      <x:c r="N43" s="258"/>
      <x:c r="O43" s="258"/>
      <x:c r="P43" s="258"/>
      <x:c r="Q43" s="258"/>
      <x:c r="R43" s="258"/>
      <x:c r="S43" s="258"/>
      <x:c r="T43" s="258"/>
      <x:c r="U43" s="258"/>
      <x:c r="V43" s="258"/>
      <x:c r="W43" s="258"/>
      <x:c r="X43" s="258"/>
      <x:c r="Y43" s="258"/>
      <x:c r="Z43" s="258"/>
    </x:row>
    <x:row r="44">
      <x:c r="A44" s="258"/>
      <x:c r="B44" s="258"/>
      <x:c r="C44" s="258"/>
      <x:c r="D44" s="258"/>
      <x:c r="E44" s="258"/>
      <x:c r="F44" s="258"/>
      <x:c r="G44" s="258"/>
      <x:c r="H44" s="258"/>
      <x:c r="I44" s="258"/>
      <x:c r="J44" s="258"/>
      <x:c r="K44" s="258"/>
      <x:c r="L44" s="258"/>
      <x:c r="M44" s="258"/>
      <x:c r="N44" s="258"/>
      <x:c r="O44" s="258"/>
      <x:c r="P44" s="258"/>
      <x:c r="Q44" s="258"/>
      <x:c r="R44" s="258"/>
      <x:c r="S44" s="258"/>
      <x:c r="T44" s="258"/>
      <x:c r="U44" s="258"/>
      <x:c r="V44" s="258"/>
      <x:c r="W44" s="258"/>
      <x:c r="X44" s="258"/>
      <x:c r="Y44" s="258"/>
      <x:c r="Z44" s="258"/>
    </x:row>
    <x:row r="45">
      <x:c r="A45" s="258"/>
      <x:c r="B45" s="258"/>
      <x:c r="C45" s="258"/>
      <x:c r="D45" s="258"/>
      <x:c r="E45" s="258"/>
      <x:c r="F45" s="258"/>
      <x:c r="G45" s="258"/>
      <x:c r="H45" s="258"/>
      <x:c r="I45" s="258"/>
      <x:c r="J45" s="258"/>
      <x:c r="K45" s="258"/>
      <x:c r="L45" s="258"/>
      <x:c r="M45" s="258"/>
      <x:c r="N45" s="258"/>
      <x:c r="O45" s="258"/>
      <x:c r="P45" s="258"/>
      <x:c r="Q45" s="258"/>
      <x:c r="R45" s="258"/>
      <x:c r="S45" s="258"/>
      <x:c r="T45" s="258"/>
      <x:c r="U45" s="258"/>
      <x:c r="V45" s="258"/>
      <x:c r="W45" s="258"/>
      <x:c r="X45" s="258"/>
      <x:c r="Y45" s="258"/>
      <x:c r="Z45" s="258"/>
    </x:row>
    <x:row r="46">
      <x:c r="A46" s="258"/>
      <x:c r="B46" s="258"/>
      <x:c r="C46" s="258"/>
      <x:c r="D46" s="258"/>
      <x:c r="E46" s="258"/>
      <x:c r="F46" s="258"/>
      <x:c r="G46" s="258"/>
      <x:c r="H46" s="258"/>
      <x:c r="I46" s="258"/>
      <x:c r="J46" s="258"/>
      <x:c r="K46" s="258"/>
      <x:c r="L46" s="258"/>
      <x:c r="M46" s="258"/>
      <x:c r="N46" s="258"/>
      <x:c r="O46" s="258"/>
      <x:c r="P46" s="258"/>
      <x:c r="Q46" s="258"/>
      <x:c r="R46" s="258"/>
      <x:c r="S46" s="258"/>
      <x:c r="T46" s="258"/>
      <x:c r="U46" s="258"/>
      <x:c r="V46" s="258"/>
      <x:c r="W46" s="258"/>
      <x:c r="X46" s="258"/>
      <x:c r="Y46" s="258"/>
      <x:c r="Z46" s="258"/>
    </x:row>
    <x:row r="47">
      <x:c r="A47" s="258"/>
      <x:c r="B47" s="258"/>
      <x:c r="C47" s="258"/>
      <x:c r="D47" s="258"/>
      <x:c r="E47" s="258"/>
      <x:c r="F47" s="258"/>
      <x:c r="G47" s="258"/>
      <x:c r="H47" s="258"/>
      <x:c r="I47" s="258"/>
      <x:c r="J47" s="258"/>
      <x:c r="K47" s="258"/>
      <x:c r="L47" s="258"/>
      <x:c r="M47" s="258"/>
      <x:c r="N47" s="258"/>
      <x:c r="O47" s="258"/>
      <x:c r="P47" s="258"/>
      <x:c r="Q47" s="258"/>
      <x:c r="R47" s="258"/>
      <x:c r="S47" s="258"/>
      <x:c r="T47" s="258"/>
      <x:c r="U47" s="258"/>
      <x:c r="V47" s="258"/>
      <x:c r="W47" s="258"/>
      <x:c r="X47" s="258"/>
      <x:c r="Y47" s="258"/>
      <x:c r="Z47" s="258"/>
    </x:row>
    <x:row r="48">
      <x:c r="A48" s="258"/>
      <x:c r="B48" s="258"/>
      <x:c r="C48" s="258"/>
      <x:c r="D48" s="258"/>
      <x:c r="E48" s="258"/>
      <x:c r="F48" s="258"/>
      <x:c r="G48" s="258"/>
      <x:c r="H48" s="258"/>
      <x:c r="I48" s="258"/>
      <x:c r="J48" s="258"/>
      <x:c r="K48" s="258"/>
      <x:c r="L48" s="258"/>
      <x:c r="M48" s="258"/>
      <x:c r="N48" s="258"/>
      <x:c r="O48" s="258"/>
      <x:c r="P48" s="258"/>
      <x:c r="Q48" s="258"/>
      <x:c r="R48" s="258"/>
      <x:c r="S48" s="258"/>
      <x:c r="T48" s="258"/>
      <x:c r="U48" s="258"/>
      <x:c r="V48" s="258"/>
      <x:c r="W48" s="258"/>
      <x:c r="X48" s="258"/>
      <x:c r="Y48" s="258"/>
      <x:c r="Z48" s="258"/>
    </x:row>
    <x:row r="49">
      <x:c r="A49" s="258"/>
      <x:c r="B49" s="258"/>
      <x:c r="C49" s="258"/>
      <x:c r="D49" s="258"/>
      <x:c r="E49" s="258"/>
      <x:c r="F49" s="258"/>
      <x:c r="G49" s="258"/>
      <x:c r="H49" s="258"/>
      <x:c r="I49" s="258"/>
      <x:c r="J49" s="258"/>
      <x:c r="K49" s="258"/>
      <x:c r="L49" s="258"/>
      <x:c r="M49" s="258"/>
      <x:c r="N49" s="258"/>
      <x:c r="O49" s="258"/>
      <x:c r="P49" s="258"/>
      <x:c r="Q49" s="258"/>
      <x:c r="R49" s="258"/>
      <x:c r="S49" s="258"/>
      <x:c r="T49" s="258"/>
      <x:c r="U49" s="258"/>
      <x:c r="V49" s="258"/>
      <x:c r="W49" s="258"/>
      <x:c r="X49" s="258"/>
      <x:c r="Y49" s="258"/>
      <x:c r="Z49" s="258"/>
    </x:row>
    <x:row r="50">
      <x:c r="A50" s="258"/>
      <x:c r="B50" s="258"/>
      <x:c r="C50" s="258"/>
      <x:c r="D50" s="258"/>
      <x:c r="E50" s="258"/>
      <x:c r="F50" s="258"/>
      <x:c r="G50" s="258"/>
      <x:c r="H50" s="258"/>
      <x:c r="I50" s="258"/>
      <x:c r="J50" s="258"/>
      <x:c r="K50" s="258"/>
      <x:c r="L50" s="258"/>
      <x:c r="M50" s="258"/>
      <x:c r="N50" s="258"/>
      <x:c r="O50" s="258"/>
      <x:c r="P50" s="258"/>
      <x:c r="Q50" s="258"/>
      <x:c r="R50" s="258"/>
      <x:c r="S50" s="258"/>
      <x:c r="T50" s="258"/>
      <x:c r="U50" s="258"/>
      <x:c r="V50" s="258"/>
      <x:c r="W50" s="258"/>
      <x:c r="X50" s="258"/>
      <x:c r="Y50" s="258"/>
      <x:c r="Z50" s="258"/>
    </x:row>
    <x:row r="51">
      <x:c r="A51" s="258"/>
      <x:c r="B51" s="258"/>
      <x:c r="C51" s="258"/>
      <x:c r="D51" s="258"/>
      <x:c r="E51" s="258"/>
      <x:c r="F51" s="258"/>
      <x:c r="G51" s="258"/>
      <x:c r="H51" s="258"/>
      <x:c r="I51" s="258"/>
      <x:c r="J51" s="258"/>
      <x:c r="K51" s="258"/>
      <x:c r="L51" s="258"/>
      <x:c r="M51" s="258"/>
      <x:c r="N51" s="258"/>
      <x:c r="O51" s="258"/>
      <x:c r="P51" s="258"/>
      <x:c r="Q51" s="258"/>
      <x:c r="R51" s="258"/>
      <x:c r="S51" s="258"/>
      <x:c r="T51" s="258"/>
      <x:c r="U51" s="258"/>
      <x:c r="V51" s="258"/>
      <x:c r="W51" s="258"/>
      <x:c r="X51" s="258"/>
      <x:c r="Y51" s="258"/>
      <x:c r="Z51" s="258"/>
    </x:row>
    <x:row r="52">
      <x:c r="A52" s="258"/>
      <x:c r="B52" s="258"/>
      <x:c r="C52" s="258"/>
      <x:c r="D52" s="258"/>
      <x:c r="E52" s="258"/>
      <x:c r="F52" s="258"/>
      <x:c r="G52" s="258"/>
      <x:c r="H52" s="258"/>
      <x:c r="I52" s="258"/>
      <x:c r="J52" s="258"/>
      <x:c r="K52" s="258"/>
      <x:c r="L52" s="258"/>
      <x:c r="M52" s="258"/>
      <x:c r="N52" s="258"/>
      <x:c r="O52" s="258"/>
      <x:c r="P52" s="258"/>
      <x:c r="Q52" s="258"/>
      <x:c r="R52" s="258"/>
      <x:c r="S52" s="258"/>
      <x:c r="T52" s="258"/>
      <x:c r="U52" s="258"/>
      <x:c r="V52" s="258"/>
      <x:c r="W52" s="258"/>
      <x:c r="X52" s="258"/>
      <x:c r="Y52" s="258"/>
      <x:c r="Z52" s="258"/>
    </x:row>
    <x:row r="53">
      <x:c r="A53" s="258"/>
      <x:c r="B53" s="258"/>
      <x:c r="C53" s="258"/>
      <x:c r="D53" s="258"/>
      <x:c r="E53" s="258"/>
      <x:c r="F53" s="258"/>
      <x:c r="G53" s="258"/>
      <x:c r="H53" s="258"/>
      <x:c r="I53" s="258"/>
      <x:c r="J53" s="258"/>
      <x:c r="K53" s="258"/>
      <x:c r="L53" s="258"/>
      <x:c r="M53" s="258"/>
      <x:c r="N53" s="258"/>
      <x:c r="O53" s="258"/>
      <x:c r="P53" s="258"/>
      <x:c r="Q53" s="258"/>
      <x:c r="R53" s="258"/>
      <x:c r="S53" s="258"/>
      <x:c r="T53" s="258"/>
      <x:c r="U53" s="258"/>
      <x:c r="V53" s="258"/>
      <x:c r="W53" s="258"/>
      <x:c r="X53" s="258"/>
      <x:c r="Y53" s="258"/>
      <x:c r="Z53" s="258"/>
    </x:row>
    <x:row r="54">
      <x:c r="A54" s="258"/>
      <x:c r="B54" s="258"/>
      <x:c r="C54" s="258"/>
      <x:c r="D54" s="258"/>
      <x:c r="E54" s="258"/>
      <x:c r="F54" s="258"/>
      <x:c r="G54" s="258"/>
      <x:c r="H54" s="258"/>
      <x:c r="I54" s="258"/>
      <x:c r="J54" s="258"/>
      <x:c r="K54" s="258"/>
      <x:c r="L54" s="258"/>
      <x:c r="M54" s="258"/>
      <x:c r="N54" s="258"/>
      <x:c r="O54" s="258"/>
      <x:c r="P54" s="258"/>
      <x:c r="Q54" s="258"/>
      <x:c r="R54" s="258"/>
      <x:c r="S54" s="258"/>
      <x:c r="T54" s="258"/>
      <x:c r="U54" s="258"/>
      <x:c r="V54" s="258"/>
      <x:c r="W54" s="258"/>
      <x:c r="X54" s="258"/>
      <x:c r="Y54" s="258"/>
      <x:c r="Z54" s="258"/>
    </x:row>
    <x:row r="55">
      <x:c r="A55" s="258"/>
      <x:c r="B55" s="258"/>
      <x:c r="C55" s="258"/>
      <x:c r="D55" s="258"/>
      <x:c r="E55" s="258"/>
      <x:c r="F55" s="258"/>
      <x:c r="G55" s="258"/>
      <x:c r="H55" s="258"/>
      <x:c r="I55" s="258"/>
      <x:c r="J55" s="258"/>
      <x:c r="K55" s="258"/>
      <x:c r="L55" s="258"/>
      <x:c r="M55" s="258"/>
      <x:c r="N55" s="258"/>
      <x:c r="O55" s="258"/>
      <x:c r="P55" s="258"/>
      <x:c r="Q55" s="258"/>
      <x:c r="R55" s="258"/>
      <x:c r="S55" s="258"/>
      <x:c r="T55" s="258"/>
      <x:c r="U55" s="258"/>
      <x:c r="V55" s="258"/>
      <x:c r="W55" s="258"/>
      <x:c r="X55" s="258"/>
      <x:c r="Y55" s="258"/>
      <x:c r="Z55" s="258"/>
    </x:row>
    <x:row r="56">
      <x:c r="A56" s="258"/>
      <x:c r="B56" s="258"/>
      <x:c r="C56" s="258"/>
      <x:c r="D56" s="258"/>
      <x:c r="E56" s="258"/>
      <x:c r="F56" s="258"/>
      <x:c r="G56" s="258"/>
      <x:c r="H56" s="258"/>
      <x:c r="I56" s="258"/>
      <x:c r="J56" s="258"/>
      <x:c r="K56" s="258"/>
      <x:c r="L56" s="258"/>
      <x:c r="M56" s="258"/>
      <x:c r="N56" s="258"/>
      <x:c r="O56" s="258"/>
      <x:c r="P56" s="258"/>
      <x:c r="Q56" s="258"/>
      <x:c r="R56" s="258"/>
      <x:c r="S56" s="258"/>
      <x:c r="T56" s="258"/>
      <x:c r="U56" s="258"/>
      <x:c r="V56" s="258"/>
      <x:c r="W56" s="258"/>
      <x:c r="X56" s="258"/>
      <x:c r="Y56" s="258"/>
      <x:c r="Z56" s="258"/>
    </x:row>
    <x:row r="57">
      <x:c r="A57" s="258"/>
      <x:c r="B57" s="258"/>
      <x:c r="C57" s="258"/>
      <x:c r="D57" s="258"/>
      <x:c r="E57" s="258"/>
      <x:c r="F57" s="258"/>
      <x:c r="G57" s="258"/>
      <x:c r="H57" s="258"/>
      <x:c r="I57" s="258"/>
      <x:c r="J57" s="258"/>
      <x:c r="K57" s="258"/>
      <x:c r="L57" s="258"/>
      <x:c r="M57" s="258"/>
      <x:c r="N57" s="258"/>
      <x:c r="O57" s="258"/>
      <x:c r="P57" s="258"/>
      <x:c r="Q57" s="258"/>
      <x:c r="R57" s="258"/>
      <x:c r="S57" s="258"/>
      <x:c r="T57" s="258"/>
      <x:c r="U57" s="258"/>
      <x:c r="V57" s="258"/>
      <x:c r="W57" s="258"/>
      <x:c r="X57" s="258"/>
      <x:c r="Y57" s="258"/>
      <x:c r="Z57" s="258"/>
    </x:row>
    <x:row r="58">
      <x:c r="A58" s="258"/>
      <x:c r="B58" s="258"/>
      <x:c r="C58" s="258"/>
      <x:c r="D58" s="258"/>
      <x:c r="E58" s="258"/>
      <x:c r="F58" s="258"/>
      <x:c r="G58" s="258"/>
      <x:c r="H58" s="258"/>
      <x:c r="I58" s="258"/>
      <x:c r="J58" s="258"/>
      <x:c r="K58" s="258"/>
      <x:c r="L58" s="258"/>
      <x:c r="M58" s="258"/>
      <x:c r="N58" s="258"/>
      <x:c r="O58" s="258"/>
      <x:c r="P58" s="258"/>
      <x:c r="Q58" s="258"/>
      <x:c r="R58" s="258"/>
      <x:c r="S58" s="258"/>
      <x:c r="T58" s="258"/>
      <x:c r="U58" s="258"/>
      <x:c r="V58" s="258"/>
      <x:c r="W58" s="258"/>
      <x:c r="X58" s="258"/>
      <x:c r="Y58" s="258"/>
      <x:c r="Z58" s="258"/>
    </x:row>
    <x:row r="59">
      <x:c r="A59" s="258"/>
      <x:c r="B59" s="258"/>
      <x:c r="C59" s="258"/>
      <x:c r="D59" s="258"/>
      <x:c r="E59" s="258"/>
      <x:c r="F59" s="258"/>
      <x:c r="G59" s="258"/>
      <x:c r="H59" s="258"/>
      <x:c r="I59" s="258"/>
      <x:c r="J59" s="258"/>
      <x:c r="K59" s="258"/>
      <x:c r="L59" s="258"/>
      <x:c r="M59" s="258"/>
      <x:c r="N59" s="258"/>
      <x:c r="O59" s="258"/>
      <x:c r="P59" s="258"/>
      <x:c r="Q59" s="258"/>
      <x:c r="R59" s="258"/>
      <x:c r="S59" s="258"/>
      <x:c r="T59" s="258"/>
      <x:c r="U59" s="258"/>
      <x:c r="V59" s="258"/>
      <x:c r="W59" s="258"/>
      <x:c r="X59" s="258"/>
      <x:c r="Y59" s="258"/>
      <x:c r="Z59" s="258"/>
    </x:row>
    <x:row r="60">
      <x:c r="A60" s="258"/>
      <x:c r="B60" s="258"/>
      <x:c r="C60" s="258"/>
      <x:c r="D60" s="258"/>
      <x:c r="E60" s="258"/>
      <x:c r="F60" s="258"/>
      <x:c r="G60" s="258"/>
      <x:c r="H60" s="258"/>
      <x:c r="I60" s="258"/>
      <x:c r="J60" s="258"/>
      <x:c r="K60" s="258"/>
      <x:c r="L60" s="258"/>
      <x:c r="M60" s="258"/>
      <x:c r="N60" s="258"/>
      <x:c r="O60" s="258"/>
      <x:c r="P60" s="258"/>
      <x:c r="Q60" s="258"/>
      <x:c r="R60" s="258"/>
      <x:c r="S60" s="258"/>
      <x:c r="T60" s="258"/>
      <x:c r="U60" s="258"/>
      <x:c r="V60" s="258"/>
      <x:c r="W60" s="258"/>
      <x:c r="X60" s="258"/>
      <x:c r="Y60" s="258"/>
      <x:c r="Z60" s="258"/>
    </x:row>
    <x:row r="61">
      <x:c r="A61" s="258"/>
      <x:c r="B61" s="258"/>
      <x:c r="C61" s="258"/>
      <x:c r="D61" s="258"/>
      <x:c r="E61" s="258"/>
      <x:c r="F61" s="258"/>
      <x:c r="G61" s="258"/>
      <x:c r="H61" s="258"/>
      <x:c r="I61" s="258"/>
      <x:c r="J61" s="258"/>
      <x:c r="K61" s="258"/>
      <x:c r="L61" s="258"/>
      <x:c r="M61" s="258"/>
      <x:c r="N61" s="258"/>
      <x:c r="O61" s="258"/>
      <x:c r="P61" s="258"/>
      <x:c r="Q61" s="258"/>
      <x:c r="R61" s="258"/>
      <x:c r="S61" s="258"/>
      <x:c r="T61" s="258"/>
      <x:c r="U61" s="258"/>
      <x:c r="V61" s="258"/>
      <x:c r="W61" s="258"/>
      <x:c r="X61" s="258"/>
      <x:c r="Y61" s="258"/>
      <x:c r="Z61" s="258"/>
    </x:row>
    <x:row r="62">
      <x:c r="A62" s="258"/>
      <x:c r="B62" s="258"/>
      <x:c r="C62" s="258"/>
      <x:c r="D62" s="258"/>
      <x:c r="E62" s="258"/>
      <x:c r="F62" s="258"/>
      <x:c r="G62" s="258"/>
      <x:c r="H62" s="258"/>
      <x:c r="I62" s="258"/>
      <x:c r="J62" s="258"/>
      <x:c r="K62" s="258"/>
      <x:c r="L62" s="258"/>
      <x:c r="M62" s="258"/>
      <x:c r="N62" s="258"/>
      <x:c r="O62" s="258"/>
      <x:c r="P62" s="258"/>
      <x:c r="Q62" s="258"/>
      <x:c r="R62" s="258"/>
      <x:c r="S62" s="258"/>
      <x:c r="T62" s="258"/>
      <x:c r="U62" s="258"/>
      <x:c r="V62" s="258"/>
      <x:c r="W62" s="258"/>
      <x:c r="X62" s="258"/>
      <x:c r="Y62" s="258"/>
      <x:c r="Z62" s="258"/>
    </x:row>
    <x:row r="63">
      <x:c r="A63" s="258"/>
      <x:c r="B63" s="258"/>
      <x:c r="C63" s="258"/>
      <x:c r="D63" s="258"/>
      <x:c r="E63" s="258"/>
      <x:c r="F63" s="258"/>
      <x:c r="G63" s="258"/>
      <x:c r="H63" s="258"/>
      <x:c r="I63" s="258"/>
      <x:c r="J63" s="258"/>
      <x:c r="K63" s="258"/>
      <x:c r="L63" s="258"/>
      <x:c r="M63" s="258"/>
      <x:c r="N63" s="258"/>
      <x:c r="O63" s="258"/>
      <x:c r="P63" s="258"/>
      <x:c r="Q63" s="258"/>
      <x:c r="R63" s="258"/>
      <x:c r="S63" s="258"/>
      <x:c r="T63" s="258"/>
      <x:c r="U63" s="258"/>
      <x:c r="V63" s="258"/>
      <x:c r="W63" s="258"/>
      <x:c r="X63" s="258"/>
      <x:c r="Y63" s="258"/>
      <x:c r="Z63" s="258"/>
    </x:row>
    <x:row r="64">
      <x:c r="A64" s="258"/>
      <x:c r="B64" s="258"/>
      <x:c r="C64" s="258"/>
      <x:c r="D64" s="258"/>
      <x:c r="E64" s="258"/>
      <x:c r="F64" s="258"/>
      <x:c r="G64" s="258"/>
      <x:c r="H64" s="258"/>
      <x:c r="I64" s="258"/>
      <x:c r="J64" s="258"/>
      <x:c r="K64" s="258"/>
      <x:c r="L64" s="258"/>
      <x:c r="M64" s="258"/>
      <x:c r="N64" s="258"/>
      <x:c r="O64" s="258"/>
      <x:c r="P64" s="258"/>
      <x:c r="Q64" s="258"/>
      <x:c r="R64" s="258"/>
      <x:c r="S64" s="258"/>
      <x:c r="T64" s="258"/>
      <x:c r="U64" s="258"/>
      <x:c r="V64" s="258"/>
      <x:c r="W64" s="258"/>
      <x:c r="X64" s="258"/>
      <x:c r="Y64" s="258"/>
      <x:c r="Z64" s="258"/>
    </x:row>
    <x:row r="65">
      <x:c r="A65" s="258"/>
      <x:c r="B65" s="258"/>
      <x:c r="C65" s="258"/>
      <x:c r="D65" s="258"/>
      <x:c r="E65" s="258"/>
      <x:c r="F65" s="258"/>
      <x:c r="G65" s="258"/>
      <x:c r="H65" s="258"/>
      <x:c r="I65" s="258"/>
      <x:c r="J65" s="258"/>
      <x:c r="K65" s="258"/>
      <x:c r="L65" s="258"/>
      <x:c r="M65" s="258"/>
      <x:c r="N65" s="258"/>
      <x:c r="O65" s="258"/>
      <x:c r="P65" s="258"/>
      <x:c r="Q65" s="258"/>
      <x:c r="R65" s="258"/>
      <x:c r="S65" s="258"/>
      <x:c r="T65" s="258"/>
      <x:c r="U65" s="258"/>
      <x:c r="V65" s="258"/>
      <x:c r="W65" s="258"/>
      <x:c r="X65" s="258"/>
      <x:c r="Y65" s="258"/>
      <x:c r="Z65" s="258"/>
    </x:row>
    <x:row r="66">
      <x:c r="A66" s="258"/>
      <x:c r="B66" s="258"/>
      <x:c r="C66" s="258"/>
      <x:c r="D66" s="258"/>
      <x:c r="E66" s="258"/>
      <x:c r="F66" s="258"/>
      <x:c r="G66" s="258"/>
      <x:c r="H66" s="258"/>
      <x:c r="I66" s="258"/>
      <x:c r="J66" s="258"/>
      <x:c r="K66" s="258"/>
      <x:c r="L66" s="258"/>
      <x:c r="M66" s="258"/>
      <x:c r="N66" s="258"/>
      <x:c r="O66" s="258"/>
      <x:c r="P66" s="258"/>
      <x:c r="Q66" s="258"/>
      <x:c r="R66" s="258"/>
      <x:c r="S66" s="258"/>
      <x:c r="T66" s="258"/>
      <x:c r="U66" s="258"/>
      <x:c r="V66" s="258"/>
      <x:c r="W66" s="258"/>
      <x:c r="X66" s="258"/>
      <x:c r="Y66" s="258"/>
      <x:c r="Z66" s="258"/>
    </x:row>
    <x:row r="67">
      <x:c r="A67" s="258"/>
      <x:c r="B67" s="258"/>
      <x:c r="C67" s="258"/>
      <x:c r="D67" s="258"/>
      <x:c r="E67" s="258"/>
      <x:c r="F67" s="258"/>
      <x:c r="G67" s="258"/>
      <x:c r="H67" s="258"/>
      <x:c r="I67" s="258"/>
      <x:c r="J67" s="258"/>
      <x:c r="K67" s="258"/>
      <x:c r="L67" s="258"/>
      <x:c r="M67" s="258"/>
      <x:c r="N67" s="258"/>
      <x:c r="O67" s="258"/>
      <x:c r="P67" s="258"/>
      <x:c r="Q67" s="258"/>
      <x:c r="R67" s="258"/>
      <x:c r="S67" s="258"/>
      <x:c r="T67" s="258"/>
      <x:c r="U67" s="258"/>
      <x:c r="V67" s="258"/>
      <x:c r="W67" s="258"/>
      <x:c r="X67" s="258"/>
      <x:c r="Y67" s="258"/>
      <x:c r="Z67" s="258"/>
    </x:row>
    <x:row r="68">
      <x:c r="A68" s="258"/>
      <x:c r="B68" s="258"/>
      <x:c r="C68" s="258"/>
      <x:c r="D68" s="258"/>
      <x:c r="E68" s="258"/>
      <x:c r="F68" s="258"/>
      <x:c r="G68" s="258"/>
      <x:c r="H68" s="258"/>
      <x:c r="I68" s="258"/>
      <x:c r="J68" s="258"/>
      <x:c r="K68" s="258"/>
      <x:c r="L68" s="258"/>
      <x:c r="M68" s="258"/>
      <x:c r="N68" s="258"/>
      <x:c r="O68" s="258"/>
      <x:c r="P68" s="258"/>
      <x:c r="Q68" s="258"/>
      <x:c r="R68" s="258"/>
      <x:c r="S68" s="258"/>
      <x:c r="T68" s="258"/>
      <x:c r="U68" s="258"/>
      <x:c r="V68" s="258"/>
      <x:c r="W68" s="258"/>
      <x:c r="X68" s="258"/>
      <x:c r="Y68" s="258"/>
      <x:c r="Z68" s="258"/>
    </x:row>
    <x:row r="69">
      <x:c r="A69" s="258"/>
      <x:c r="B69" s="258"/>
      <x:c r="C69" s="258"/>
      <x:c r="D69" s="258"/>
      <x:c r="E69" s="258"/>
      <x:c r="F69" s="258"/>
      <x:c r="G69" s="258"/>
      <x:c r="H69" s="258"/>
      <x:c r="I69" s="258"/>
      <x:c r="J69" s="258"/>
      <x:c r="K69" s="258"/>
      <x:c r="L69" s="258"/>
      <x:c r="M69" s="258"/>
      <x:c r="N69" s="258"/>
      <x:c r="O69" s="258"/>
      <x:c r="P69" s="258"/>
      <x:c r="Q69" s="258"/>
      <x:c r="R69" s="258"/>
      <x:c r="S69" s="258"/>
      <x:c r="T69" s="258"/>
      <x:c r="U69" s="258"/>
      <x:c r="V69" s="258"/>
      <x:c r="W69" s="258"/>
      <x:c r="X69" s="258"/>
      <x:c r="Y69" s="258"/>
      <x:c r="Z69" s="258"/>
    </x:row>
    <x:row r="70">
      <x:c r="A70" s="258"/>
      <x:c r="B70" s="258"/>
      <x:c r="C70" s="258"/>
      <x:c r="D70" s="258"/>
      <x:c r="E70" s="258"/>
      <x:c r="F70" s="258"/>
      <x:c r="G70" s="258"/>
      <x:c r="H70" s="258"/>
      <x:c r="I70" s="258"/>
      <x:c r="J70" s="258"/>
      <x:c r="K70" s="258"/>
      <x:c r="L70" s="258"/>
      <x:c r="M70" s="258"/>
      <x:c r="N70" s="258"/>
      <x:c r="O70" s="258"/>
      <x:c r="P70" s="258"/>
      <x:c r="Q70" s="258"/>
      <x:c r="R70" s="258"/>
      <x:c r="S70" s="258"/>
      <x:c r="T70" s="258"/>
      <x:c r="U70" s="258"/>
      <x:c r="V70" s="258"/>
      <x:c r="W70" s="258"/>
      <x:c r="X70" s="258"/>
      <x:c r="Y70" s="258"/>
      <x:c r="Z70" s="258"/>
    </x:row>
    <x:row r="71">
      <x:c r="A71" s="258"/>
      <x:c r="B71" s="258"/>
      <x:c r="C71" s="258"/>
      <x:c r="D71" s="258"/>
      <x:c r="E71" s="258"/>
      <x:c r="F71" s="258"/>
      <x:c r="G71" s="258"/>
      <x:c r="H71" s="258"/>
      <x:c r="I71" s="258"/>
      <x:c r="J71" s="258"/>
      <x:c r="K71" s="258"/>
      <x:c r="L71" s="258"/>
      <x:c r="M71" s="258"/>
      <x:c r="N71" s="258"/>
      <x:c r="O71" s="258"/>
      <x:c r="P71" s="258"/>
      <x:c r="Q71" s="258"/>
      <x:c r="R71" s="258"/>
      <x:c r="S71" s="258"/>
      <x:c r="T71" s="258"/>
      <x:c r="U71" s="258"/>
      <x:c r="V71" s="258"/>
      <x:c r="W71" s="258"/>
      <x:c r="X71" s="258"/>
      <x:c r="Y71" s="258"/>
      <x:c r="Z71" s="258"/>
    </x:row>
    <x:row r="72">
      <x:c r="A72" s="258"/>
      <x:c r="B72" s="258"/>
      <x:c r="C72" s="258"/>
      <x:c r="D72" s="258"/>
      <x:c r="E72" s="258"/>
      <x:c r="F72" s="258"/>
      <x:c r="G72" s="258"/>
      <x:c r="H72" s="258"/>
      <x:c r="I72" s="258"/>
      <x:c r="J72" s="258"/>
      <x:c r="K72" s="258"/>
      <x:c r="L72" s="258"/>
      <x:c r="M72" s="258"/>
      <x:c r="N72" s="258"/>
      <x:c r="O72" s="258"/>
      <x:c r="P72" s="258"/>
      <x:c r="Q72" s="258"/>
      <x:c r="R72" s="258"/>
      <x:c r="S72" s="258"/>
      <x:c r="T72" s="258"/>
      <x:c r="U72" s="258"/>
      <x:c r="V72" s="258"/>
      <x:c r="W72" s="258"/>
      <x:c r="X72" s="258"/>
      <x:c r="Y72" s="258"/>
      <x:c r="Z72" s="258"/>
    </x:row>
    <x:row r="73">
      <x:c r="A73" s="258"/>
      <x:c r="B73" s="258"/>
      <x:c r="C73" s="258"/>
      <x:c r="D73" s="258"/>
      <x:c r="E73" s="258"/>
      <x:c r="F73" s="258"/>
      <x:c r="G73" s="258"/>
      <x:c r="H73" s="258"/>
      <x:c r="I73" s="258"/>
      <x:c r="J73" s="258"/>
      <x:c r="K73" s="258"/>
      <x:c r="L73" s="258"/>
      <x:c r="M73" s="258"/>
      <x:c r="N73" s="258"/>
      <x:c r="O73" s="258"/>
      <x:c r="P73" s="258"/>
      <x:c r="Q73" s="258"/>
      <x:c r="R73" s="258"/>
      <x:c r="S73" s="258"/>
      <x:c r="T73" s="258"/>
      <x:c r="U73" s="258"/>
      <x:c r="V73" s="258"/>
      <x:c r="W73" s="258"/>
      <x:c r="X73" s="258"/>
      <x:c r="Y73" s="258"/>
      <x:c r="Z73" s="258"/>
    </x:row>
    <x:row r="74">
      <x:c r="A74" s="258"/>
      <x:c r="B74" s="258"/>
      <x:c r="C74" s="258"/>
      <x:c r="D74" s="258"/>
      <x:c r="E74" s="258"/>
      <x:c r="F74" s="258"/>
      <x:c r="G74" s="258"/>
      <x:c r="H74" s="258"/>
      <x:c r="I74" s="258"/>
      <x:c r="J74" s="258"/>
      <x:c r="K74" s="258"/>
      <x:c r="L74" s="258"/>
      <x:c r="M74" s="258"/>
      <x:c r="N74" s="258"/>
      <x:c r="O74" s="258"/>
      <x:c r="P74" s="258"/>
      <x:c r="Q74" s="258"/>
      <x:c r="R74" s="258"/>
      <x:c r="S74" s="258"/>
      <x:c r="T74" s="258"/>
      <x:c r="U74" s="258"/>
      <x:c r="V74" s="258"/>
      <x:c r="W74" s="258"/>
      <x:c r="X74" s="258"/>
      <x:c r="Y74" s="258"/>
      <x:c r="Z74" s="258"/>
    </x:row>
    <x:row r="75">
      <x:c r="A75" s="258"/>
      <x:c r="B75" s="258"/>
      <x:c r="C75" s="258"/>
      <x:c r="D75" s="258"/>
      <x:c r="E75" s="258"/>
      <x:c r="F75" s="258"/>
      <x:c r="G75" s="258"/>
      <x:c r="H75" s="258"/>
      <x:c r="I75" s="258"/>
      <x:c r="J75" s="258"/>
      <x:c r="K75" s="258"/>
      <x:c r="L75" s="258"/>
      <x:c r="M75" s="258"/>
      <x:c r="N75" s="258"/>
      <x:c r="O75" s="258"/>
      <x:c r="P75" s="258"/>
      <x:c r="Q75" s="258"/>
      <x:c r="R75" s="258"/>
      <x:c r="S75" s="258"/>
      <x:c r="T75" s="258"/>
      <x:c r="U75" s="258"/>
      <x:c r="V75" s="258"/>
      <x:c r="W75" s="258"/>
      <x:c r="X75" s="258"/>
      <x:c r="Y75" s="258"/>
      <x:c r="Z75" s="258"/>
    </x:row>
    <x:row r="76">
      <x:c r="A76" s="258"/>
      <x:c r="B76" s="258"/>
      <x:c r="C76" s="258"/>
      <x:c r="D76" s="258"/>
      <x:c r="E76" s="258"/>
      <x:c r="F76" s="258"/>
      <x:c r="G76" s="258"/>
      <x:c r="H76" s="258"/>
      <x:c r="I76" s="258"/>
      <x:c r="J76" s="258"/>
      <x:c r="K76" s="258"/>
      <x:c r="L76" s="258"/>
      <x:c r="M76" s="258"/>
      <x:c r="N76" s="258"/>
      <x:c r="O76" s="258"/>
      <x:c r="P76" s="258"/>
      <x:c r="Q76" s="258"/>
      <x:c r="R76" s="258"/>
      <x:c r="S76" s="258"/>
      <x:c r="T76" s="258"/>
      <x:c r="U76" s="258"/>
      <x:c r="V76" s="258"/>
      <x:c r="W76" s="258"/>
      <x:c r="X76" s="258"/>
      <x:c r="Y76" s="258"/>
      <x:c r="Z76" s="258"/>
    </x:row>
    <x:row r="77">
      <x:c r="A77" s="258"/>
      <x:c r="B77" s="258"/>
      <x:c r="C77" s="258"/>
      <x:c r="D77" s="258"/>
      <x:c r="E77" s="258"/>
      <x:c r="F77" s="258"/>
      <x:c r="G77" s="258"/>
      <x:c r="H77" s="258"/>
      <x:c r="I77" s="258"/>
      <x:c r="J77" s="258"/>
      <x:c r="K77" s="258"/>
      <x:c r="L77" s="258"/>
      <x:c r="M77" s="258"/>
      <x:c r="N77" s="258"/>
      <x:c r="O77" s="258"/>
      <x:c r="P77" s="258"/>
      <x:c r="Q77" s="258"/>
      <x:c r="R77" s="258"/>
      <x:c r="S77" s="258"/>
      <x:c r="T77" s="258"/>
      <x:c r="U77" s="258"/>
      <x:c r="V77" s="258"/>
      <x:c r="W77" s="258"/>
      <x:c r="X77" s="258"/>
      <x:c r="Y77" s="258"/>
      <x:c r="Z77" s="258"/>
    </x:row>
    <x:row r="78">
      <x:c r="A78" s="258"/>
      <x:c r="B78" s="258"/>
      <x:c r="C78" s="258"/>
      <x:c r="D78" s="258"/>
      <x:c r="E78" s="258"/>
      <x:c r="F78" s="258"/>
      <x:c r="G78" s="258"/>
      <x:c r="H78" s="258"/>
      <x:c r="I78" s="258"/>
      <x:c r="J78" s="258"/>
      <x:c r="K78" s="258"/>
      <x:c r="L78" s="258"/>
      <x:c r="M78" s="258"/>
      <x:c r="N78" s="258"/>
      <x:c r="O78" s="258"/>
      <x:c r="P78" s="258"/>
      <x:c r="Q78" s="258"/>
      <x:c r="R78" s="258"/>
      <x:c r="S78" s="258"/>
      <x:c r="T78" s="258"/>
      <x:c r="U78" s="258"/>
      <x:c r="V78" s="258"/>
      <x:c r="W78" s="258"/>
      <x:c r="X78" s="258"/>
      <x:c r="Y78" s="258"/>
      <x:c r="Z78" s="258"/>
    </x:row>
    <x:row r="79">
      <x:c r="A79" s="258"/>
      <x:c r="B79" s="258"/>
      <x:c r="C79" s="258"/>
      <x:c r="D79" s="258"/>
      <x:c r="E79" s="258"/>
      <x:c r="F79" s="258"/>
      <x:c r="G79" s="258"/>
      <x:c r="H79" s="258"/>
      <x:c r="I79" s="258"/>
      <x:c r="J79" s="258"/>
      <x:c r="K79" s="258"/>
      <x:c r="L79" s="258"/>
      <x:c r="M79" s="258"/>
      <x:c r="N79" s="258"/>
      <x:c r="O79" s="258"/>
      <x:c r="P79" s="258"/>
      <x:c r="Q79" s="258"/>
      <x:c r="R79" s="258"/>
      <x:c r="S79" s="258"/>
      <x:c r="T79" s="258"/>
      <x:c r="U79" s="258"/>
      <x:c r="V79" s="258"/>
      <x:c r="W79" s="258"/>
      <x:c r="X79" s="258"/>
      <x:c r="Y79" s="258"/>
      <x:c r="Z79" s="258"/>
    </x:row>
    <x:row r="80">
      <x:c r="A80" s="258"/>
      <x:c r="B80" s="258"/>
      <x:c r="C80" s="258"/>
      <x:c r="D80" s="258"/>
      <x:c r="E80" s="258"/>
      <x:c r="F80" s="258"/>
      <x:c r="G80" s="258"/>
      <x:c r="H80" s="258"/>
      <x:c r="I80" s="258"/>
      <x:c r="J80" s="258"/>
      <x:c r="K80" s="258"/>
      <x:c r="L80" s="258"/>
      <x:c r="M80" s="258"/>
      <x:c r="N80" s="258"/>
      <x:c r="O80" s="258"/>
      <x:c r="P80" s="258"/>
      <x:c r="Q80" s="258"/>
      <x:c r="R80" s="258"/>
      <x:c r="S80" s="258"/>
      <x:c r="T80" s="258"/>
      <x:c r="U80" s="258"/>
      <x:c r="V80" s="258"/>
      <x:c r="W80" s="258"/>
      <x:c r="X80" s="258"/>
      <x:c r="Y80" s="258"/>
      <x:c r="Z80" s="258"/>
    </x:row>
    <x:row r="81">
      <x:c r="A81" s="258"/>
      <x:c r="B81" s="258"/>
      <x:c r="C81" s="258"/>
      <x:c r="D81" s="258"/>
      <x:c r="E81" s="258"/>
      <x:c r="F81" s="258"/>
      <x:c r="G81" s="258"/>
      <x:c r="H81" s="258"/>
      <x:c r="I81" s="258"/>
      <x:c r="J81" s="258"/>
      <x:c r="K81" s="258"/>
      <x:c r="L81" s="258"/>
      <x:c r="M81" s="258"/>
      <x:c r="N81" s="258"/>
      <x:c r="O81" s="258"/>
      <x:c r="P81" s="258"/>
      <x:c r="Q81" s="258"/>
      <x:c r="R81" s="258"/>
      <x:c r="S81" s="258"/>
      <x:c r="T81" s="258"/>
      <x:c r="U81" s="258"/>
      <x:c r="V81" s="258"/>
      <x:c r="W81" s="258"/>
      <x:c r="X81" s="258"/>
      <x:c r="Y81" s="258"/>
      <x:c r="Z81" s="258"/>
    </x:row>
    <x:row r="82">
      <x:c r="A82" s="258"/>
      <x:c r="B82" s="258"/>
      <x:c r="C82" s="258"/>
      <x:c r="D82" s="258"/>
      <x:c r="E82" s="258"/>
      <x:c r="F82" s="258"/>
      <x:c r="G82" s="258"/>
      <x:c r="H82" s="258"/>
      <x:c r="I82" s="258"/>
      <x:c r="J82" s="258"/>
      <x:c r="K82" s="258"/>
      <x:c r="L82" s="258"/>
      <x:c r="M82" s="258"/>
      <x:c r="N82" s="258"/>
      <x:c r="O82" s="258"/>
      <x:c r="P82" s="258"/>
      <x:c r="Q82" s="258"/>
      <x:c r="R82" s="258"/>
      <x:c r="S82" s="258"/>
      <x:c r="T82" s="258"/>
      <x:c r="U82" s="258"/>
      <x:c r="V82" s="258"/>
      <x:c r="W82" s="258"/>
      <x:c r="X82" s="258"/>
      <x:c r="Y82" s="258"/>
      <x:c r="Z82" s="258"/>
    </x:row>
    <x:row r="83">
      <x:c r="A83" s="258"/>
      <x:c r="B83" s="258"/>
      <x:c r="C83" s="258"/>
      <x:c r="D83" s="258"/>
      <x:c r="E83" s="258"/>
      <x:c r="F83" s="258"/>
      <x:c r="G83" s="258"/>
      <x:c r="H83" s="258"/>
      <x:c r="I83" s="258"/>
      <x:c r="J83" s="258"/>
      <x:c r="K83" s="258"/>
      <x:c r="L83" s="258"/>
      <x:c r="M83" s="258"/>
      <x:c r="N83" s="258"/>
      <x:c r="O83" s="258"/>
      <x:c r="P83" s="258"/>
      <x:c r="Q83" s="258"/>
      <x:c r="R83" s="258"/>
      <x:c r="S83" s="258"/>
      <x:c r="T83" s="258"/>
      <x:c r="U83" s="258"/>
      <x:c r="V83" s="258"/>
      <x:c r="W83" s="258"/>
      <x:c r="X83" s="258"/>
      <x:c r="Y83" s="258"/>
      <x:c r="Z83" s="258"/>
    </x:row>
    <x:row r="84">
      <x:c r="A84" s="258"/>
      <x:c r="B84" s="258"/>
      <x:c r="C84" s="258"/>
      <x:c r="D84" s="258"/>
      <x:c r="E84" s="258"/>
      <x:c r="F84" s="258"/>
      <x:c r="G84" s="258"/>
      <x:c r="H84" s="258"/>
      <x:c r="I84" s="258"/>
      <x:c r="J84" s="258"/>
      <x:c r="K84" s="258"/>
      <x:c r="L84" s="258"/>
      <x:c r="M84" s="258"/>
      <x:c r="N84" s="258"/>
      <x:c r="O84" s="258"/>
      <x:c r="P84" s="258"/>
      <x:c r="Q84" s="258"/>
      <x:c r="R84" s="258"/>
      <x:c r="S84" s="258"/>
      <x:c r="T84" s="258"/>
      <x:c r="U84" s="258"/>
      <x:c r="V84" s="258"/>
      <x:c r="W84" s="258"/>
      <x:c r="X84" s="258"/>
      <x:c r="Y84" s="258"/>
      <x:c r="Z84" s="258"/>
    </x:row>
    <x:row r="85">
      <x:c r="A85" s="258"/>
      <x:c r="B85" s="258"/>
      <x:c r="C85" s="258"/>
      <x:c r="D85" s="258"/>
      <x:c r="E85" s="258"/>
      <x:c r="F85" s="258"/>
      <x:c r="G85" s="258"/>
      <x:c r="H85" s="258"/>
      <x:c r="I85" s="258"/>
      <x:c r="J85" s="258"/>
      <x:c r="K85" s="258"/>
      <x:c r="L85" s="258"/>
      <x:c r="M85" s="258"/>
      <x:c r="N85" s="258"/>
      <x:c r="O85" s="258"/>
      <x:c r="P85" s="258"/>
      <x:c r="Q85" s="258"/>
      <x:c r="R85" s="258"/>
      <x:c r="S85" s="258"/>
      <x:c r="T85" s="258"/>
      <x:c r="U85" s="258"/>
      <x:c r="V85" s="258"/>
      <x:c r="W85" s="258"/>
      <x:c r="X85" s="258"/>
      <x:c r="Y85" s="258"/>
      <x:c r="Z85" s="258"/>
    </x:row>
    <x:row r="86">
      <x:c r="A86" s="258"/>
      <x:c r="B86" s="258"/>
      <x:c r="C86" s="258"/>
      <x:c r="D86" s="258"/>
      <x:c r="E86" s="258"/>
      <x:c r="F86" s="258"/>
      <x:c r="G86" s="258"/>
      <x:c r="H86" s="258"/>
      <x:c r="I86" s="258"/>
      <x:c r="J86" s="258"/>
      <x:c r="K86" s="258"/>
      <x:c r="L86" s="258"/>
      <x:c r="M86" s="258"/>
      <x:c r="N86" s="258"/>
      <x:c r="O86" s="258"/>
      <x:c r="P86" s="258"/>
      <x:c r="Q86" s="258"/>
      <x:c r="R86" s="258"/>
      <x:c r="S86" s="258"/>
      <x:c r="T86" s="258"/>
      <x:c r="U86" s="258"/>
      <x:c r="V86" s="258"/>
      <x:c r="W86" s="258"/>
      <x:c r="X86" s="258"/>
      <x:c r="Y86" s="258"/>
      <x:c r="Z86" s="258"/>
    </x:row>
    <x:row r="87">
      <x:c r="A87" s="258"/>
      <x:c r="B87" s="258"/>
      <x:c r="C87" s="258"/>
      <x:c r="D87" s="258"/>
      <x:c r="E87" s="258"/>
      <x:c r="F87" s="258"/>
      <x:c r="G87" s="258"/>
      <x:c r="H87" s="258"/>
      <x:c r="I87" s="258"/>
      <x:c r="J87" s="258"/>
      <x:c r="K87" s="258"/>
      <x:c r="L87" s="258"/>
      <x:c r="M87" s="258"/>
      <x:c r="N87" s="258"/>
      <x:c r="O87" s="258"/>
      <x:c r="P87" s="258"/>
      <x:c r="Q87" s="258"/>
      <x:c r="R87" s="258"/>
      <x:c r="S87" s="258"/>
      <x:c r="T87" s="258"/>
      <x:c r="U87" s="258"/>
      <x:c r="V87" s="258"/>
      <x:c r="W87" s="258"/>
      <x:c r="X87" s="258"/>
      <x:c r="Y87" s="258"/>
      <x:c r="Z87" s="258"/>
    </x:row>
    <x:row r="88">
      <x:c r="A88" s="258"/>
      <x:c r="B88" s="258"/>
      <x:c r="C88" s="258"/>
      <x:c r="D88" s="258"/>
      <x:c r="E88" s="258"/>
      <x:c r="F88" s="258"/>
      <x:c r="G88" s="258"/>
      <x:c r="H88" s="258"/>
      <x:c r="I88" s="258"/>
      <x:c r="J88" s="258"/>
      <x:c r="K88" s="258"/>
      <x:c r="L88" s="258"/>
      <x:c r="M88" s="258"/>
      <x:c r="N88" s="258"/>
      <x:c r="O88" s="258"/>
      <x:c r="P88" s="258"/>
      <x:c r="Q88" s="258"/>
      <x:c r="R88" s="258"/>
      <x:c r="S88" s="258"/>
      <x:c r="T88" s="258"/>
      <x:c r="U88" s="258"/>
      <x:c r="V88" s="258"/>
      <x:c r="W88" s="258"/>
      <x:c r="X88" s="258"/>
      <x:c r="Y88" s="258"/>
      <x:c r="Z88" s="258"/>
    </x:row>
    <x:row r="89">
      <x:c r="A89" s="258"/>
      <x:c r="B89" s="258"/>
      <x:c r="C89" s="258"/>
      <x:c r="D89" s="258"/>
      <x:c r="E89" s="258"/>
      <x:c r="F89" s="258"/>
      <x:c r="G89" s="258"/>
      <x:c r="H89" s="258"/>
      <x:c r="I89" s="258"/>
      <x:c r="J89" s="258"/>
      <x:c r="K89" s="258"/>
      <x:c r="L89" s="258"/>
      <x:c r="M89" s="258"/>
      <x:c r="N89" s="258"/>
      <x:c r="O89" s="258"/>
      <x:c r="P89" s="258"/>
      <x:c r="Q89" s="258"/>
      <x:c r="R89" s="258"/>
      <x:c r="S89" s="258"/>
      <x:c r="T89" s="258"/>
      <x:c r="U89" s="258"/>
      <x:c r="V89" s="258"/>
      <x:c r="W89" s="258"/>
      <x:c r="X89" s="258"/>
      <x:c r="Y89" s="258"/>
      <x:c r="Z89" s="258"/>
    </x:row>
    <x:row r="90">
      <x:c r="A90" s="258"/>
      <x:c r="B90" s="258"/>
      <x:c r="C90" s="258"/>
      <x:c r="D90" s="258"/>
      <x:c r="E90" s="258"/>
      <x:c r="F90" s="258"/>
      <x:c r="G90" s="258"/>
      <x:c r="H90" s="258"/>
      <x:c r="I90" s="258"/>
      <x:c r="J90" s="258"/>
      <x:c r="K90" s="258"/>
      <x:c r="L90" s="258"/>
      <x:c r="M90" s="258"/>
      <x:c r="N90" s="258"/>
      <x:c r="O90" s="258"/>
      <x:c r="P90" s="258"/>
      <x:c r="Q90" s="258"/>
      <x:c r="R90" s="258"/>
      <x:c r="S90" s="258"/>
      <x:c r="T90" s="258"/>
      <x:c r="U90" s="258"/>
      <x:c r="V90" s="258"/>
      <x:c r="W90" s="258"/>
      <x:c r="X90" s="258"/>
      <x:c r="Y90" s="258"/>
      <x:c r="Z90" s="258"/>
    </x:row>
    <x:row r="91">
      <x:c r="A91" s="258"/>
      <x:c r="B91" s="258"/>
      <x:c r="C91" s="258"/>
      <x:c r="D91" s="258"/>
      <x:c r="E91" s="258"/>
      <x:c r="F91" s="258"/>
      <x:c r="G91" s="258"/>
      <x:c r="H91" s="258"/>
      <x:c r="I91" s="258"/>
      <x:c r="J91" s="258"/>
      <x:c r="K91" s="258"/>
      <x:c r="L91" s="258"/>
      <x:c r="M91" s="258"/>
      <x:c r="N91" s="258"/>
      <x:c r="O91" s="258"/>
      <x:c r="P91" s="258"/>
      <x:c r="Q91" s="258"/>
      <x:c r="R91" s="258"/>
      <x:c r="S91" s="258"/>
      <x:c r="T91" s="258"/>
      <x:c r="U91" s="258"/>
      <x:c r="V91" s="258"/>
      <x:c r="W91" s="258"/>
      <x:c r="X91" s="258"/>
      <x:c r="Y91" s="258"/>
      <x:c r="Z91" s="258"/>
    </x:row>
    <x:row r="92">
      <x:c r="A92" s="258"/>
      <x:c r="B92" s="258"/>
      <x:c r="C92" s="258"/>
      <x:c r="D92" s="258"/>
      <x:c r="E92" s="258"/>
      <x:c r="F92" s="258"/>
      <x:c r="G92" s="258"/>
      <x:c r="H92" s="258"/>
      <x:c r="I92" s="258"/>
      <x:c r="J92" s="258"/>
      <x:c r="K92" s="258"/>
      <x:c r="L92" s="258"/>
      <x:c r="M92" s="258"/>
      <x:c r="N92" s="258"/>
      <x:c r="O92" s="258"/>
      <x:c r="P92" s="258"/>
      <x:c r="Q92" s="258"/>
      <x:c r="R92" s="258"/>
      <x:c r="S92" s="258"/>
      <x:c r="T92" s="258"/>
      <x:c r="U92" s="258"/>
      <x:c r="V92" s="258"/>
      <x:c r="W92" s="258"/>
      <x:c r="X92" s="258"/>
      <x:c r="Y92" s="258"/>
      <x:c r="Z92" s="258"/>
    </x:row>
    <x:row r="93">
      <x:c r="A93" s="258"/>
      <x:c r="B93" s="258"/>
      <x:c r="C93" s="258"/>
      <x:c r="D93" s="258"/>
      <x:c r="E93" s="258"/>
      <x:c r="F93" s="258"/>
      <x:c r="G93" s="258"/>
      <x:c r="H93" s="258"/>
      <x:c r="I93" s="258"/>
      <x:c r="J93" s="258"/>
      <x:c r="K93" s="258"/>
      <x:c r="L93" s="258"/>
      <x:c r="M93" s="258"/>
      <x:c r="N93" s="258"/>
      <x:c r="O93" s="258"/>
      <x:c r="P93" s="258"/>
      <x:c r="Q93" s="258"/>
      <x:c r="R93" s="258"/>
      <x:c r="S93" s="258"/>
      <x:c r="T93" s="258"/>
      <x:c r="U93" s="258"/>
      <x:c r="V93" s="258"/>
      <x:c r="W93" s="258"/>
      <x:c r="X93" s="258"/>
      <x:c r="Y93" s="258"/>
      <x:c r="Z93" s="258"/>
    </x:row>
    <x:row r="94">
      <x:c r="A94" s="258"/>
      <x:c r="B94" s="258"/>
      <x:c r="C94" s="258"/>
      <x:c r="D94" s="258"/>
      <x:c r="E94" s="258"/>
      <x:c r="F94" s="258"/>
      <x:c r="G94" s="258"/>
      <x:c r="H94" s="258"/>
      <x:c r="I94" s="258"/>
      <x:c r="J94" s="258"/>
      <x:c r="K94" s="258"/>
      <x:c r="L94" s="258"/>
      <x:c r="M94" s="258"/>
      <x:c r="N94" s="258"/>
      <x:c r="O94" s="258"/>
      <x:c r="P94" s="258"/>
      <x:c r="Q94" s="258"/>
      <x:c r="R94" s="258"/>
      <x:c r="S94" s="258"/>
      <x:c r="T94" s="258"/>
      <x:c r="U94" s="258"/>
      <x:c r="V94" s="258"/>
      <x:c r="W94" s="258"/>
      <x:c r="X94" s="258"/>
      <x:c r="Y94" s="258"/>
      <x:c r="Z94" s="258"/>
    </x:row>
    <x:row r="95">
      <x:c r="A95" s="258"/>
      <x:c r="B95" s="258"/>
      <x:c r="C95" s="258"/>
      <x:c r="D95" s="258"/>
      <x:c r="E95" s="258"/>
      <x:c r="F95" s="258"/>
      <x:c r="G95" s="258"/>
      <x:c r="H95" s="258"/>
      <x:c r="I95" s="258"/>
      <x:c r="J95" s="258"/>
      <x:c r="K95" s="258"/>
      <x:c r="L95" s="258"/>
      <x:c r="M95" s="258"/>
      <x:c r="N95" s="258"/>
      <x:c r="O95" s="258"/>
      <x:c r="P95" s="258"/>
      <x:c r="Q95" s="258"/>
      <x:c r="R95" s="258"/>
      <x:c r="S95" s="258"/>
      <x:c r="T95" s="258"/>
      <x:c r="U95" s="258"/>
      <x:c r="V95" s="258"/>
      <x:c r="W95" s="258"/>
      <x:c r="X95" s="258"/>
      <x:c r="Y95" s="258"/>
      <x:c r="Z95" s="258"/>
    </x:row>
    <x:row r="96">
      <x:c r="A96" s="258"/>
      <x:c r="B96" s="258"/>
      <x:c r="C96" s="258"/>
      <x:c r="D96" s="258"/>
      <x:c r="E96" s="258"/>
      <x:c r="F96" s="258"/>
      <x:c r="G96" s="258"/>
      <x:c r="H96" s="258"/>
      <x:c r="I96" s="258"/>
      <x:c r="J96" s="258"/>
      <x:c r="K96" s="258"/>
      <x:c r="L96" s="258"/>
      <x:c r="M96" s="258"/>
      <x:c r="N96" s="258"/>
      <x:c r="O96" s="258"/>
      <x:c r="P96" s="258"/>
      <x:c r="Q96" s="258"/>
      <x:c r="R96" s="258"/>
      <x:c r="S96" s="258"/>
      <x:c r="T96" s="258"/>
      <x:c r="U96" s="258"/>
      <x:c r="V96" s="258"/>
      <x:c r="W96" s="258"/>
      <x:c r="X96" s="258"/>
      <x:c r="Y96" s="258"/>
      <x:c r="Z96" s="258"/>
    </x:row>
    <x:row r="97">
      <x:c r="A97" s="258"/>
      <x:c r="B97" s="258"/>
      <x:c r="C97" s="258"/>
      <x:c r="D97" s="258"/>
      <x:c r="E97" s="258"/>
      <x:c r="F97" s="258"/>
      <x:c r="G97" s="258"/>
      <x:c r="H97" s="258"/>
      <x:c r="I97" s="258"/>
      <x:c r="J97" s="258"/>
      <x:c r="K97" s="258"/>
      <x:c r="L97" s="258"/>
      <x:c r="M97" s="258"/>
      <x:c r="N97" s="258"/>
      <x:c r="O97" s="258"/>
      <x:c r="P97" s="258"/>
      <x:c r="Q97" s="258"/>
      <x:c r="R97" s="258"/>
      <x:c r="S97" s="258"/>
      <x:c r="T97" s="258"/>
      <x:c r="U97" s="258"/>
      <x:c r="V97" s="258"/>
      <x:c r="W97" s="258"/>
      <x:c r="X97" s="258"/>
      <x:c r="Y97" s="258"/>
      <x:c r="Z97" s="258"/>
    </x:row>
    <x:row r="98">
      <x:c r="A98" s="258"/>
      <x:c r="B98" s="258"/>
      <x:c r="C98" s="258"/>
      <x:c r="D98" s="258"/>
      <x:c r="E98" s="258"/>
      <x:c r="F98" s="258"/>
      <x:c r="G98" s="258"/>
      <x:c r="H98" s="258"/>
      <x:c r="I98" s="258"/>
      <x:c r="J98" s="258"/>
      <x:c r="K98" s="258"/>
      <x:c r="L98" s="258"/>
      <x:c r="M98" s="258"/>
      <x:c r="N98" s="258"/>
      <x:c r="O98" s="258"/>
      <x:c r="P98" s="258"/>
      <x:c r="Q98" s="258"/>
      <x:c r="R98" s="258"/>
      <x:c r="S98" s="258"/>
      <x:c r="T98" s="258"/>
      <x:c r="U98" s="258"/>
      <x:c r="V98" s="258"/>
      <x:c r="W98" s="258"/>
      <x:c r="X98" s="258"/>
      <x:c r="Y98" s="258"/>
      <x:c r="Z98" s="258"/>
    </x:row>
    <x:row r="99">
      <x:c r="A99" s="258"/>
      <x:c r="B99" s="258"/>
      <x:c r="C99" s="258"/>
      <x:c r="D99" s="258"/>
      <x:c r="E99" s="258"/>
      <x:c r="F99" s="258"/>
      <x:c r="G99" s="258"/>
      <x:c r="H99" s="258"/>
      <x:c r="I99" s="258"/>
      <x:c r="J99" s="258"/>
      <x:c r="K99" s="258"/>
      <x:c r="L99" s="258"/>
      <x:c r="M99" s="258"/>
      <x:c r="N99" s="258"/>
      <x:c r="O99" s="258"/>
      <x:c r="P99" s="258"/>
      <x:c r="Q99" s="258"/>
      <x:c r="R99" s="258"/>
      <x:c r="S99" s="258"/>
      <x:c r="T99" s="258"/>
      <x:c r="U99" s="258"/>
      <x:c r="V99" s="258"/>
      <x:c r="W99" s="258"/>
      <x:c r="X99" s="258"/>
      <x:c r="Y99" s="258"/>
      <x:c r="Z99" s="258"/>
    </x:row>
    <x:row r="100">
      <x:c r="A100" s="258"/>
      <x:c r="B100" s="258"/>
      <x:c r="C100" s="258"/>
      <x:c r="D100" s="258"/>
      <x:c r="E100" s="258"/>
      <x:c r="F100" s="258"/>
      <x:c r="G100" s="258"/>
      <x:c r="H100" s="258"/>
      <x:c r="I100" s="258"/>
      <x:c r="J100" s="258"/>
      <x:c r="K100" s="258"/>
      <x:c r="L100" s="258"/>
      <x:c r="M100" s="258"/>
      <x:c r="N100" s="258"/>
      <x:c r="O100" s="258"/>
      <x:c r="P100" s="258"/>
      <x:c r="Q100" s="258"/>
      <x:c r="R100" s="258"/>
      <x:c r="S100" s="258"/>
      <x:c r="T100" s="258"/>
      <x:c r="U100" s="258"/>
      <x:c r="V100" s="258"/>
      <x:c r="W100" s="258"/>
      <x:c r="X100" s="258"/>
      <x:c r="Y100" s="258"/>
      <x:c r="Z100" s="258"/>
    </x:row>
  </x:sheetData>
  <x:mergeCells>
    <x:mergeCell ref="A1:G1"/>
  </x:mergeCells>
  <x:conditionalFormatting sqref="F4:F13">
    <x:cfRule type="dataBar" priority="1">
      <x:dataBar>
        <x:cfvo type="min"/>
        <x:cfvo type="max"/>
        <x:color rgb="16A34A"/>
      </x:dataBar>
      <x:extLst>
        <x:ext xmlns:x14="http://schemas.microsoft.com/office/spreadsheetml/2009/9/main" uri="{B025F937-C7B1-47D3-B67F-A62EFF666E3E}">
          <x14:id>{D1298F75-663A-C976-4B76-2D2C85E70149}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755751d361d049be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D1298F75-663A-C976-4B76-2D2C85E70149}">
            <x14:dataBar gradient="1">
              <x14:cfvo type="min"/>
              <x14:cfvo type="max"/>
              <x14:fillColor rgb="16A34A"/>
            </x14:dataBar>
          </x14:cfRule>
          <xm:sqref>F4:F13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FormatPr defaultRowHeight="15"/>
  <x:cols>
    <x:col min="1" max="1" width="13.859999656677246" hidden="0" customWidth="1"/>
    <x:col min="2" max="2" width="6.190000057220459" hidden="0" customWidth="1"/>
    <x:col min="3" max="3" width="8.079999923706055" hidden="0" customWidth="1"/>
    <x:col min="4" max="4" width="13.1899995803833" hidden="0" customWidth="1"/>
    <x:col min="5" max="5" width="3.9000000953674316" hidden="0" customWidth="1"/>
    <x:col min="6" max="6" width="7.400000095367432" hidden="0" customWidth="1"/>
    <x:col min="7" max="7" width="4.710000038146973" hidden="0" customWidth="1"/>
    <x:col min="8" max="8" width="10.770000457763672" hidden="0" customWidth="1"/>
    <x:col min="9" max="9" width="4.039999961853027" hidden="0" customWidth="1"/>
  </x:cols>
  <x:sheetData>
    <x:row r="1" ht="34" customHeight="1">
      <x:c r="A1" s="5" t="str">
        <x:v>TEAM TRACKER</x:v>
      </x:c>
      <x:c r="B1" s="5"/>
      <x:c r="C1" s="5"/>
      <x:c r="D1" s="5"/>
      <x:c r="E1" s="5"/>
      <x:c r="F1" s="5"/>
      <x:c r="G1" s="5"/>
      <x:c r="H1" s="5"/>
      <x:c r="I1" s="5"/>
      <x:c r="J1" s="258"/>
      <x:c r="K1" s="258"/>
      <x:c r="L1" s="258"/>
      <x:c r="M1" s="258"/>
      <x:c r="N1" s="258"/>
      <x:c r="O1" s="258"/>
      <x:c r="P1" s="258"/>
      <x:c r="Q1" s="258"/>
      <x:c r="R1" s="258"/>
      <x:c r="S1" s="258"/>
      <x:c r="T1" s="258"/>
      <x:c r="U1" s="258"/>
      <x:c r="V1" s="258"/>
      <x:c r="W1" s="258"/>
      <x:c r="X1" s="258"/>
      <x:c r="Y1" s="258"/>
      <x:c r="Z1" s="258"/>
    </x:row>
    <x:row r="2">
      <x:c r="A2" s="258"/>
      <x:c r="B2" s="258"/>
      <x:c r="C2" s="258"/>
      <x:c r="D2" s="258"/>
      <x:c r="E2" s="258"/>
      <x:c r="F2" s="258"/>
      <x:c r="G2" s="258"/>
      <x:c r="H2" s="258"/>
      <x:c r="I2" s="258"/>
      <x:c r="J2" s="258"/>
      <x:c r="K2" s="258"/>
      <x:c r="L2" s="258"/>
      <x:c r="M2" s="258"/>
      <x:c r="N2" s="258"/>
      <x:c r="O2" s="258"/>
      <x:c r="P2" s="258"/>
      <x:c r="Q2" s="258"/>
      <x:c r="R2" s="258"/>
      <x:c r="S2" s="258"/>
      <x:c r="T2" s="258"/>
      <x:c r="U2" s="258"/>
      <x:c r="V2" s="258"/>
      <x:c r="W2" s="258"/>
      <x:c r="X2" s="258"/>
      <x:c r="Y2" s="258"/>
      <x:c r="Z2" s="258"/>
    </x:row>
    <x:row r="3">
      <x:c r="A3" s="261" t="str">
        <x:v>Team</x:v>
      </x:c>
      <x:c r="B3" s="262" t="str">
        <x:v>Owner</x:v>
      </x:c>
      <x:c r="C3" s="262" t="str">
        <x:v>Group Pts</x:v>
      </x:c>
      <x:c r="D3" s="262" t="str">
        <x:v>Knockout Bonus</x:v>
      </x:c>
      <x:c r="E3" s="262" t="str">
        <x:v>Total</x:v>
      </x:c>
      <x:c r="F3" s="262" t="str">
        <x:v>Status</x:v>
      </x:c>
      <x:c r="G3" s="262" t="str">
        <x:v>Notes</x:v>
      </x:c>
      <x:c r="H3" s="262" t="str">
        <x:v>Last Updated</x:v>
      </x:c>
      <x:c r="I3" s="263" t="str">
        <x:v>Rank</x:v>
      </x:c>
      <x:c r="J3" s="258"/>
      <x:c r="K3" s="258"/>
      <x:c r="L3" s="258"/>
      <x:c r="M3" s="258"/>
      <x:c r="N3" s="258"/>
      <x:c r="O3" s="258"/>
      <x:c r="P3" s="258"/>
      <x:c r="Q3" s="258"/>
      <x:c r="R3" s="258"/>
      <x:c r="S3" s="258"/>
      <x:c r="T3" s="258"/>
      <x:c r="U3" s="258"/>
      <x:c r="V3" s="258"/>
      <x:c r="W3" s="258"/>
      <x:c r="X3" s="258"/>
      <x:c r="Y3" s="258"/>
      <x:c r="Z3" s="258"/>
    </x:row>
    <x:row r="4">
      <x:c r="A4" s="302" t="str">
        <x:v>🇳🇱 Netherlands</x:v>
      </x:c>
      <x:c r="B4" s="265" t="str">
        <x:v>Gail</x:v>
      </x:c>
      <x:c r="C4" s="265" t="n">
        <x:f>IFERROR(VLOOKUP(A4,'⚽ Results Entry'!$A$4:$H$23,2,FALSE),0)</x:f>
        <x:v>0</x:v>
      </x:c>
      <x:c r="D4" s="265" t="n">
        <x:f>IFERROR(SUM(VLOOKUP(A4,'⚽ Results Entry'!$A$4:$H$23,3,FALSE):VLOOKUP(A4,'⚽ Results Entry'!$A$4:$H$23,7,FALSE)),0)</x:f>
        <x:v>0</x:v>
      </x:c>
      <x:c r="E4" s="265" t="n">
        <x:f>IFERROR(VLOOKUP(A4,'⚽ Results Entry'!$A$4:$H$23,8,FALSE),0)</x:f>
        <x:v>0</x:v>
      </x:c>
      <x:c r="F4" s="265" t="str">
        <x:v>In play</x:v>
      </x:c>
      <x:c r="G4" s="265"/>
      <x:c r="H4" s="303" t="n">
        <x:v>46182</x:v>
      </x:c>
      <x:c r="I4" s="266" t="n">
        <x:f>RANK.EQ(E4,$E$4:$E$23,0)</x:f>
        <x:v>1</x:v>
      </x:c>
      <x:c r="J4" s="258"/>
      <x:c r="K4" s="258"/>
      <x:c r="L4" s="258"/>
      <x:c r="M4" s="258"/>
      <x:c r="N4" s="258"/>
      <x:c r="O4" s="258"/>
      <x:c r="P4" s="258"/>
      <x:c r="Q4" s="258"/>
      <x:c r="R4" s="258"/>
      <x:c r="S4" s="258"/>
      <x:c r="T4" s="258"/>
      <x:c r="U4" s="258"/>
      <x:c r="V4" s="258"/>
      <x:c r="W4" s="258"/>
      <x:c r="X4" s="258"/>
      <x:c r="Y4" s="258"/>
      <x:c r="Z4" s="258"/>
    </x:row>
    <x:row r="5">
      <x:c r="A5" s="302" t="str">
        <x:v>🇮🇷 Iran</x:v>
      </x:c>
      <x:c r="B5" s="265" t="str">
        <x:v>Gail</x:v>
      </x:c>
      <x:c r="C5" s="265" t="n">
        <x:f>IFERROR(VLOOKUP(A5,'⚽ Results Entry'!$A$4:$H$23,2,FALSE),0)</x:f>
        <x:v>0</x:v>
      </x:c>
      <x:c r="D5" s="265" t="n">
        <x:f>IFERROR(SUM(VLOOKUP(A5,'⚽ Results Entry'!$A$4:$H$23,3,FALSE):VLOOKUP(A5,'⚽ Results Entry'!$A$4:$H$23,7,FALSE)),0)</x:f>
        <x:v>0</x:v>
      </x:c>
      <x:c r="E5" s="265" t="n">
        <x:f>IFERROR(VLOOKUP(A5,'⚽ Results Entry'!$A$4:$H$23,8,FALSE),0)</x:f>
        <x:v>0</x:v>
      </x:c>
      <x:c r="F5" s="265" t="str">
        <x:v>In play</x:v>
      </x:c>
      <x:c r="G5" s="265"/>
      <x:c r="H5" s="303" t="n">
        <x:v>46182</x:v>
      </x:c>
      <x:c r="I5" s="266" t="n">
        <x:f>RANK.EQ(E5,$E$4:$E$23,0)</x:f>
        <x:v>1</x:v>
      </x:c>
      <x:c r="J5" s="258"/>
      <x:c r="K5" s="258"/>
      <x:c r="L5" s="258"/>
      <x:c r="M5" s="258"/>
      <x:c r="N5" s="258"/>
      <x:c r="O5" s="258"/>
      <x:c r="P5" s="258"/>
      <x:c r="Q5" s="258"/>
      <x:c r="R5" s="258"/>
      <x:c r="S5" s="258"/>
      <x:c r="T5" s="258"/>
      <x:c r="U5" s="258"/>
      <x:c r="V5" s="258"/>
      <x:c r="W5" s="258"/>
      <x:c r="X5" s="258"/>
      <x:c r="Y5" s="258"/>
      <x:c r="Z5" s="258"/>
    </x:row>
    <x:row r="6">
      <x:c r="A6" s="302" t="str">
        <x:v>🇧🇷 Brazil</x:v>
      </x:c>
      <x:c r="B6" s="265" t="str">
        <x:v>Pas</x:v>
      </x:c>
      <x:c r="C6" s="265" t="n">
        <x:f>IFERROR(VLOOKUP(A6,'⚽ Results Entry'!$A$4:$H$23,2,FALSE),0)</x:f>
        <x:v>0</x:v>
      </x:c>
      <x:c r="D6" s="265" t="n">
        <x:f>IFERROR(SUM(VLOOKUP(A6,'⚽ Results Entry'!$A$4:$H$23,3,FALSE):VLOOKUP(A6,'⚽ Results Entry'!$A$4:$H$23,7,FALSE)),0)</x:f>
        <x:v>0</x:v>
      </x:c>
      <x:c r="E6" s="265" t="n">
        <x:f>IFERROR(VLOOKUP(A6,'⚽ Results Entry'!$A$4:$H$23,8,FALSE),0)</x:f>
        <x:v>0</x:v>
      </x:c>
      <x:c r="F6" s="265" t="str">
        <x:v>In play</x:v>
      </x:c>
      <x:c r="G6" s="265"/>
      <x:c r="H6" s="303" t="n">
        <x:v>46182</x:v>
      </x:c>
      <x:c r="I6" s="266" t="n">
        <x:f>RANK.EQ(E6,$E$4:$E$23,0)</x:f>
        <x:v>1</x:v>
      </x:c>
      <x:c r="J6" s="258"/>
      <x:c r="K6" s="258"/>
      <x:c r="L6" s="258"/>
      <x:c r="M6" s="258"/>
      <x:c r="N6" s="258"/>
      <x:c r="O6" s="258"/>
      <x:c r="P6" s="258"/>
      <x:c r="Q6" s="258"/>
      <x:c r="R6" s="258"/>
      <x:c r="S6" s="258"/>
      <x:c r="T6" s="258"/>
      <x:c r="U6" s="258"/>
      <x:c r="V6" s="258"/>
      <x:c r="W6" s="258"/>
      <x:c r="X6" s="258"/>
      <x:c r="Y6" s="258"/>
      <x:c r="Z6" s="258"/>
    </x:row>
    <x:row r="7">
      <x:c r="A7" s="302" t="str">
        <x:v>🇦🇹 Austria</x:v>
      </x:c>
      <x:c r="B7" s="265" t="str">
        <x:v>Pas</x:v>
      </x:c>
      <x:c r="C7" s="265" t="n">
        <x:f>IFERROR(VLOOKUP(A7,'⚽ Results Entry'!$A$4:$H$23,2,FALSE),0)</x:f>
        <x:v>0</x:v>
      </x:c>
      <x:c r="D7" s="265" t="n">
        <x:f>IFERROR(SUM(VLOOKUP(A7,'⚽ Results Entry'!$A$4:$H$23,3,FALSE):VLOOKUP(A7,'⚽ Results Entry'!$A$4:$H$23,7,FALSE)),0)</x:f>
        <x:v>0</x:v>
      </x:c>
      <x:c r="E7" s="265" t="n">
        <x:f>IFERROR(VLOOKUP(A7,'⚽ Results Entry'!$A$4:$H$23,8,FALSE),0)</x:f>
        <x:v>0</x:v>
      </x:c>
      <x:c r="F7" s="265" t="str">
        <x:v>In play</x:v>
      </x:c>
      <x:c r="G7" s="265"/>
      <x:c r="H7" s="303" t="n">
        <x:v>46182</x:v>
      </x:c>
      <x:c r="I7" s="266" t="n">
        <x:f>RANK.EQ(E7,$E$4:$E$23,0)</x:f>
        <x:v>1</x:v>
      </x:c>
      <x:c r="J7" s="258"/>
      <x:c r="K7" s="258"/>
      <x:c r="L7" s="258"/>
      <x:c r="M7" s="258"/>
      <x:c r="N7" s="258"/>
      <x:c r="O7" s="258"/>
      <x:c r="P7" s="258"/>
      <x:c r="Q7" s="258"/>
      <x:c r="R7" s="258"/>
      <x:c r="S7" s="258"/>
      <x:c r="T7" s="258"/>
      <x:c r="U7" s="258"/>
      <x:c r="V7" s="258"/>
      <x:c r="W7" s="258"/>
      <x:c r="X7" s="258"/>
      <x:c r="Y7" s="258"/>
      <x:c r="Z7" s="258"/>
    </x:row>
    <x:row r="8">
      <x:c r="A8" s="302" t="str">
        <x:v>🇩🇪 Germany</x:v>
      </x:c>
      <x:c r="B8" s="265" t="str">
        <x:v>Jack</x:v>
      </x:c>
      <x:c r="C8" s="265" t="n">
        <x:f>IFERROR(VLOOKUP(A8,'⚽ Results Entry'!$A$4:$H$23,2,FALSE),0)</x:f>
        <x:v>0</x:v>
      </x:c>
      <x:c r="D8" s="265" t="n">
        <x:f>IFERROR(SUM(VLOOKUP(A8,'⚽ Results Entry'!$A$4:$H$23,3,FALSE):VLOOKUP(A8,'⚽ Results Entry'!$A$4:$H$23,7,FALSE)),0)</x:f>
        <x:v>0</x:v>
      </x:c>
      <x:c r="E8" s="265" t="n">
        <x:f>IFERROR(VLOOKUP(A8,'⚽ Results Entry'!$A$4:$H$23,8,FALSE),0)</x:f>
        <x:v>0</x:v>
      </x:c>
      <x:c r="F8" s="265" t="str">
        <x:v>In play</x:v>
      </x:c>
      <x:c r="G8" s="265"/>
      <x:c r="H8" s="303" t="n">
        <x:v>46182</x:v>
      </x:c>
      <x:c r="I8" s="266" t="n">
        <x:f>RANK.EQ(E8,$E$4:$E$23,0)</x:f>
        <x:v>1</x:v>
      </x:c>
      <x:c r="J8" s="258"/>
      <x:c r="K8" s="258"/>
      <x:c r="L8" s="258"/>
      <x:c r="M8" s="258"/>
      <x:c r="N8" s="258"/>
      <x:c r="O8" s="258"/>
      <x:c r="P8" s="258"/>
      <x:c r="Q8" s="258"/>
      <x:c r="R8" s="258"/>
      <x:c r="S8" s="258"/>
      <x:c r="T8" s="258"/>
      <x:c r="U8" s="258"/>
      <x:c r="V8" s="258"/>
      <x:c r="W8" s="258"/>
      <x:c r="X8" s="258"/>
      <x:c r="Y8" s="258"/>
      <x:c r="Z8" s="258"/>
    </x:row>
    <x:row r="9">
      <x:c r="A9" s="302" t="str">
        <x:v>🇲🇽 Mexico</x:v>
      </x:c>
      <x:c r="B9" s="265" t="str">
        <x:v>Jack</x:v>
      </x:c>
      <x:c r="C9" s="265" t="n">
        <x:f>IFERROR(VLOOKUP(A9,'⚽ Results Entry'!$A$4:$H$23,2,FALSE),0)</x:f>
        <x:v>0</x:v>
      </x:c>
      <x:c r="D9" s="265" t="n">
        <x:f>IFERROR(SUM(VLOOKUP(A9,'⚽ Results Entry'!$A$4:$H$23,3,FALSE):VLOOKUP(A9,'⚽ Results Entry'!$A$4:$H$23,7,FALSE)),0)</x:f>
        <x:v>0</x:v>
      </x:c>
      <x:c r="E9" s="265" t="n">
        <x:f>IFERROR(VLOOKUP(A9,'⚽ Results Entry'!$A$4:$H$23,8,FALSE),0)</x:f>
        <x:v>0</x:v>
      </x:c>
      <x:c r="F9" s="265" t="str">
        <x:v>In play</x:v>
      </x:c>
      <x:c r="G9" s="265"/>
      <x:c r="H9" s="303" t="n">
        <x:v>46182</x:v>
      </x:c>
      <x:c r="I9" s="266" t="n">
        <x:f>RANK.EQ(E9,$E$4:$E$23,0)</x:f>
        <x:v>1</x:v>
      </x:c>
      <x:c r="J9" s="258"/>
      <x:c r="K9" s="258"/>
      <x:c r="L9" s="258"/>
      <x:c r="M9" s="258"/>
      <x:c r="N9" s="258"/>
      <x:c r="O9" s="258"/>
      <x:c r="P9" s="258"/>
      <x:c r="Q9" s="258"/>
      <x:c r="R9" s="258"/>
      <x:c r="S9" s="258"/>
      <x:c r="T9" s="258"/>
      <x:c r="U9" s="258"/>
      <x:c r="V9" s="258"/>
      <x:c r="W9" s="258"/>
      <x:c r="X9" s="258"/>
      <x:c r="Y9" s="258"/>
      <x:c r="Z9" s="258"/>
    </x:row>
    <x:row r="10">
      <x:c r="A10" s="302" t="str">
        <x:v>🇵🇹 Portugal</x:v>
      </x:c>
      <x:c r="B10" s="265" t="str">
        <x:v>Billy</x:v>
      </x:c>
      <x:c r="C10" s="265" t="n">
        <x:f>IFERROR(VLOOKUP(A10,'⚽ Results Entry'!$A$4:$H$23,2,FALSE),0)</x:f>
        <x:v>0</x:v>
      </x:c>
      <x:c r="D10" s="265" t="n">
        <x:f>IFERROR(SUM(VLOOKUP(A10,'⚽ Results Entry'!$A$4:$H$23,3,FALSE):VLOOKUP(A10,'⚽ Results Entry'!$A$4:$H$23,7,FALSE)),0)</x:f>
        <x:v>0</x:v>
      </x:c>
      <x:c r="E10" s="265" t="n">
        <x:f>IFERROR(VLOOKUP(A10,'⚽ Results Entry'!$A$4:$H$23,8,FALSE),0)</x:f>
        <x:v>0</x:v>
      </x:c>
      <x:c r="F10" s="265" t="str">
        <x:v>In play</x:v>
      </x:c>
      <x:c r="G10" s="265"/>
      <x:c r="H10" s="303" t="n">
        <x:v>46182</x:v>
      </x:c>
      <x:c r="I10" s="266" t="n">
        <x:f>RANK.EQ(E10,$E$4:$E$23,0)</x:f>
        <x:v>1</x:v>
      </x:c>
      <x:c r="J10" s="258"/>
      <x:c r="K10" s="258"/>
      <x:c r="L10" s="258"/>
      <x:c r="M10" s="258"/>
      <x:c r="N10" s="258"/>
      <x:c r="O10" s="258"/>
      <x:c r="P10" s="258"/>
      <x:c r="Q10" s="258"/>
      <x:c r="R10" s="258"/>
      <x:c r="S10" s="258"/>
      <x:c r="T10" s="258"/>
      <x:c r="U10" s="258"/>
      <x:c r="V10" s="258"/>
      <x:c r="W10" s="258"/>
      <x:c r="X10" s="258"/>
      <x:c r="Y10" s="258"/>
      <x:c r="Z10" s="258"/>
    </x:row>
    <x:row r="11">
      <x:c r="A11" s="302" t="str">
        <x:v>🇨🇭 Switzerland</x:v>
      </x:c>
      <x:c r="B11" s="265" t="str">
        <x:v>Billy</x:v>
      </x:c>
      <x:c r="C11" s="265" t="n">
        <x:f>IFERROR(VLOOKUP(A11,'⚽ Results Entry'!$A$4:$H$23,2,FALSE),0)</x:f>
        <x:v>0</x:v>
      </x:c>
      <x:c r="D11" s="265" t="n">
        <x:f>IFERROR(SUM(VLOOKUP(A11,'⚽ Results Entry'!$A$4:$H$23,3,FALSE):VLOOKUP(A11,'⚽ Results Entry'!$A$4:$H$23,7,FALSE)),0)</x:f>
        <x:v>0</x:v>
      </x:c>
      <x:c r="E11" s="265" t="n">
        <x:f>IFERROR(VLOOKUP(A11,'⚽ Results Entry'!$A$4:$H$23,8,FALSE),0)</x:f>
        <x:v>0</x:v>
      </x:c>
      <x:c r="F11" s="265" t="str">
        <x:v>In play</x:v>
      </x:c>
      <x:c r="G11" s="265"/>
      <x:c r="H11" s="303" t="n">
        <x:v>46182</x:v>
      </x:c>
      <x:c r="I11" s="266" t="n">
        <x:f>RANK.EQ(E11,$E$4:$E$23,0)</x:f>
        <x:v>1</x:v>
      </x:c>
      <x:c r="J11" s="258"/>
      <x:c r="K11" s="258"/>
      <x:c r="L11" s="258"/>
      <x:c r="M11" s="258"/>
      <x:c r="N11" s="258"/>
      <x:c r="O11" s="258"/>
      <x:c r="P11" s="258"/>
      <x:c r="Q11" s="258"/>
      <x:c r="R11" s="258"/>
      <x:c r="S11" s="258"/>
      <x:c r="T11" s="258"/>
      <x:c r="U11" s="258"/>
      <x:c r="V11" s="258"/>
      <x:c r="W11" s="258"/>
      <x:c r="X11" s="258"/>
      <x:c r="Y11" s="258"/>
      <x:c r="Z11" s="258"/>
    </x:row>
    <x:row r="12">
      <x:c r="A12" s="302" t="str">
        <x:v>🇧🇪 Belgium</x:v>
      </x:c>
      <x:c r="B12" s="265" t="str">
        <x:v>Josh</x:v>
      </x:c>
      <x:c r="C12" s="265" t="n">
        <x:f>IFERROR(VLOOKUP(A12,'⚽ Results Entry'!$A$4:$H$23,2,FALSE),0)</x:f>
        <x:v>0</x:v>
      </x:c>
      <x:c r="D12" s="265" t="n">
        <x:f>IFERROR(SUM(VLOOKUP(A12,'⚽ Results Entry'!$A$4:$H$23,3,FALSE):VLOOKUP(A12,'⚽ Results Entry'!$A$4:$H$23,7,FALSE)),0)</x:f>
        <x:v>0</x:v>
      </x:c>
      <x:c r="E12" s="265" t="n">
        <x:f>IFERROR(VLOOKUP(A12,'⚽ Results Entry'!$A$4:$H$23,8,FALSE),0)</x:f>
        <x:v>0</x:v>
      </x:c>
      <x:c r="F12" s="265" t="str">
        <x:v>In play</x:v>
      </x:c>
      <x:c r="G12" s="265"/>
      <x:c r="H12" s="303" t="n">
        <x:v>46182</x:v>
      </x:c>
      <x:c r="I12" s="266" t="n">
        <x:f>RANK.EQ(E12,$E$4:$E$23,0)</x:f>
        <x:v>1</x:v>
      </x:c>
      <x:c r="J12" s="258"/>
      <x:c r="K12" s="258"/>
      <x:c r="L12" s="258"/>
      <x:c r="M12" s="258"/>
      <x:c r="N12" s="258"/>
      <x:c r="O12" s="258"/>
      <x:c r="P12" s="258"/>
      <x:c r="Q12" s="258"/>
      <x:c r="R12" s="258"/>
      <x:c r="S12" s="258"/>
      <x:c r="T12" s="258"/>
      <x:c r="U12" s="258"/>
      <x:c r="V12" s="258"/>
      <x:c r="W12" s="258"/>
      <x:c r="X12" s="258"/>
      <x:c r="Y12" s="258"/>
      <x:c r="Z12" s="258"/>
    </x:row>
    <x:row r="13">
      <x:c r="A13" s="302" t="str">
        <x:v>🇳🇴 Norway</x:v>
      </x:c>
      <x:c r="B13" s="265" t="str">
        <x:v>Josh</x:v>
      </x:c>
      <x:c r="C13" s="265" t="n">
        <x:f>IFERROR(VLOOKUP(A13,'⚽ Results Entry'!$A$4:$H$23,2,FALSE),0)</x:f>
        <x:v>0</x:v>
      </x:c>
      <x:c r="D13" s="265" t="n">
        <x:f>IFERROR(SUM(VLOOKUP(A13,'⚽ Results Entry'!$A$4:$H$23,3,FALSE):VLOOKUP(A13,'⚽ Results Entry'!$A$4:$H$23,7,FALSE)),0)</x:f>
        <x:v>0</x:v>
      </x:c>
      <x:c r="E13" s="265" t="n">
        <x:f>IFERROR(VLOOKUP(A13,'⚽ Results Entry'!$A$4:$H$23,8,FALSE),0)</x:f>
        <x:v>0</x:v>
      </x:c>
      <x:c r="F13" s="265" t="str">
        <x:v>In play</x:v>
      </x:c>
      <x:c r="G13" s="265"/>
      <x:c r="H13" s="303" t="n">
        <x:v>46182</x:v>
      </x:c>
      <x:c r="I13" s="266" t="n">
        <x:f>RANK.EQ(E13,$E$4:$E$23,0)</x:f>
        <x:v>1</x:v>
      </x:c>
      <x:c r="J13" s="258"/>
      <x:c r="K13" s="258"/>
      <x:c r="L13" s="258"/>
      <x:c r="M13" s="258"/>
      <x:c r="N13" s="258"/>
      <x:c r="O13" s="258"/>
      <x:c r="P13" s="258"/>
      <x:c r="Q13" s="258"/>
      <x:c r="R13" s="258"/>
      <x:c r="S13" s="258"/>
      <x:c r="T13" s="258"/>
      <x:c r="U13" s="258"/>
      <x:c r="V13" s="258"/>
      <x:c r="W13" s="258"/>
      <x:c r="X13" s="258"/>
      <x:c r="Y13" s="258"/>
      <x:c r="Z13" s="258"/>
    </x:row>
    <x:row r="14">
      <x:c r="A14" s="302" t="str">
        <x:v>🏴 England</x:v>
      </x:c>
      <x:c r="B14" s="265" t="str">
        <x:v>Kathryn</x:v>
      </x:c>
      <x:c r="C14" s="265" t="n">
        <x:f>IFERROR(VLOOKUP(A14,'⚽ Results Entry'!$A$4:$H$23,2,FALSE),0)</x:f>
        <x:v>0</x:v>
      </x:c>
      <x:c r="D14" s="265" t="n">
        <x:f>IFERROR(SUM(VLOOKUP(A14,'⚽ Results Entry'!$A$4:$H$23,3,FALSE):VLOOKUP(A14,'⚽ Results Entry'!$A$4:$H$23,7,FALSE)),0)</x:f>
        <x:v>0</x:v>
      </x:c>
      <x:c r="E14" s="265" t="n">
        <x:f>IFERROR(VLOOKUP(A14,'⚽ Results Entry'!$A$4:$H$23,8,FALSE),0)</x:f>
        <x:v>0</x:v>
      </x:c>
      <x:c r="F14" s="265" t="str">
        <x:v>In play</x:v>
      </x:c>
      <x:c r="G14" s="265"/>
      <x:c r="H14" s="303" t="n">
        <x:v>46182</x:v>
      </x:c>
      <x:c r="I14" s="266" t="n">
        <x:f>RANK.EQ(E14,$E$4:$E$23,0)</x:f>
        <x:v>1</x:v>
      </x:c>
      <x:c r="J14" s="258"/>
      <x:c r="K14" s="258"/>
      <x:c r="L14" s="258"/>
      <x:c r="M14" s="258"/>
      <x:c r="N14" s="258"/>
      <x:c r="O14" s="258"/>
      <x:c r="P14" s="258"/>
      <x:c r="Q14" s="258"/>
      <x:c r="R14" s="258"/>
      <x:c r="S14" s="258"/>
      <x:c r="T14" s="258"/>
      <x:c r="U14" s="258"/>
      <x:c r="V14" s="258"/>
      <x:c r="W14" s="258"/>
      <x:c r="X14" s="258"/>
      <x:c r="Y14" s="258"/>
      <x:c r="Z14" s="258"/>
    </x:row>
    <x:row r="15">
      <x:c r="A15" s="302" t="str">
        <x:v>🇯🇵 Japan</x:v>
      </x:c>
      <x:c r="B15" s="265" t="str">
        <x:v>Kathryn</x:v>
      </x:c>
      <x:c r="C15" s="265" t="n">
        <x:f>IFERROR(VLOOKUP(A15,'⚽ Results Entry'!$A$4:$H$23,2,FALSE),0)</x:f>
        <x:v>0</x:v>
      </x:c>
      <x:c r="D15" s="265" t="n">
        <x:f>IFERROR(SUM(VLOOKUP(A15,'⚽ Results Entry'!$A$4:$H$23,3,FALSE):VLOOKUP(A15,'⚽ Results Entry'!$A$4:$H$23,7,FALSE)),0)</x:f>
        <x:v>0</x:v>
      </x:c>
      <x:c r="E15" s="265" t="n">
        <x:f>IFERROR(VLOOKUP(A15,'⚽ Results Entry'!$A$4:$H$23,8,FALSE),0)</x:f>
        <x:v>0</x:v>
      </x:c>
      <x:c r="F15" s="265" t="str">
        <x:v>In play</x:v>
      </x:c>
      <x:c r="G15" s="265"/>
      <x:c r="H15" s="303" t="n">
        <x:v>46182</x:v>
      </x:c>
      <x:c r="I15" s="266" t="n">
        <x:f>RANK.EQ(E15,$E$4:$E$23,0)</x:f>
        <x:v>1</x:v>
      </x:c>
      <x:c r="J15" s="258"/>
      <x:c r="K15" s="258"/>
      <x:c r="L15" s="258"/>
      <x:c r="M15" s="258"/>
      <x:c r="N15" s="258"/>
      <x:c r="O15" s="258"/>
      <x:c r="P15" s="258"/>
      <x:c r="Q15" s="258"/>
      <x:c r="R15" s="258"/>
      <x:c r="S15" s="258"/>
      <x:c r="T15" s="258"/>
      <x:c r="U15" s="258"/>
      <x:c r="V15" s="258"/>
      <x:c r="W15" s="258"/>
      <x:c r="X15" s="258"/>
      <x:c r="Y15" s="258"/>
      <x:c r="Z15" s="258"/>
    </x:row>
    <x:row r="16">
      <x:c r="A16" s="302" t="str">
        <x:v>🇭🇷 Croatia</x:v>
      </x:c>
      <x:c r="B16" s="265" t="str">
        <x:v>Joanne</x:v>
      </x:c>
      <x:c r="C16" s="265" t="n">
        <x:f>IFERROR(VLOOKUP(A16,'⚽ Results Entry'!$A$4:$H$23,2,FALSE),0)</x:f>
        <x:v>0</x:v>
      </x:c>
      <x:c r="D16" s="265" t="n">
        <x:f>IFERROR(SUM(VLOOKUP(A16,'⚽ Results Entry'!$A$4:$H$23,3,FALSE):VLOOKUP(A16,'⚽ Results Entry'!$A$4:$H$23,7,FALSE)),0)</x:f>
        <x:v>0</x:v>
      </x:c>
      <x:c r="E16" s="265" t="n">
        <x:f>IFERROR(VLOOKUP(A16,'⚽ Results Entry'!$A$4:$H$23,8,FALSE),0)</x:f>
        <x:v>0</x:v>
      </x:c>
      <x:c r="F16" s="265" t="str">
        <x:v>In play</x:v>
      </x:c>
      <x:c r="G16" s="265"/>
      <x:c r="H16" s="303" t="n">
        <x:v>46182</x:v>
      </x:c>
      <x:c r="I16" s="266" t="n">
        <x:f>RANK.EQ(E16,$E$4:$E$23,0)</x:f>
        <x:v>1</x:v>
      </x:c>
      <x:c r="J16" s="258"/>
      <x:c r="K16" s="258"/>
      <x:c r="L16" s="258"/>
      <x:c r="M16" s="258"/>
      <x:c r="N16" s="258"/>
      <x:c r="O16" s="258"/>
      <x:c r="P16" s="258"/>
      <x:c r="Q16" s="258"/>
      <x:c r="R16" s="258"/>
      <x:c r="S16" s="258"/>
      <x:c r="T16" s="258"/>
      <x:c r="U16" s="258"/>
      <x:c r="V16" s="258"/>
      <x:c r="W16" s="258"/>
      <x:c r="X16" s="258"/>
      <x:c r="Y16" s="258"/>
      <x:c r="Z16" s="258"/>
    </x:row>
    <x:row r="17">
      <x:c r="A17" s="302" t="str">
        <x:v>🇵🇾 Paraguay</x:v>
      </x:c>
      <x:c r="B17" s="265" t="str">
        <x:v>Joanne</x:v>
      </x:c>
      <x:c r="C17" s="265" t="n">
        <x:f>IFERROR(VLOOKUP(A17,'⚽ Results Entry'!$A$4:$H$23,2,FALSE),0)</x:f>
        <x:v>0</x:v>
      </x:c>
      <x:c r="D17" s="265" t="n">
        <x:f>IFERROR(SUM(VLOOKUP(A17,'⚽ Results Entry'!$A$4:$H$23,3,FALSE):VLOOKUP(A17,'⚽ Results Entry'!$A$4:$H$23,7,FALSE)),0)</x:f>
        <x:v>0</x:v>
      </x:c>
      <x:c r="E17" s="265" t="n">
        <x:f>IFERROR(VLOOKUP(A17,'⚽ Results Entry'!$A$4:$H$23,8,FALSE),0)</x:f>
        <x:v>0</x:v>
      </x:c>
      <x:c r="F17" s="265" t="str">
        <x:v>In play</x:v>
      </x:c>
      <x:c r="G17" s="265"/>
      <x:c r="H17" s="303" t="n">
        <x:v>46182</x:v>
      </x:c>
      <x:c r="I17" s="266" t="n">
        <x:f>RANK.EQ(E17,$E$4:$E$23,0)</x:f>
        <x:v>1</x:v>
      </x:c>
      <x:c r="J17" s="258"/>
      <x:c r="K17" s="258"/>
      <x:c r="L17" s="258"/>
      <x:c r="M17" s="258"/>
      <x:c r="N17" s="258"/>
      <x:c r="O17" s="258"/>
      <x:c r="P17" s="258"/>
      <x:c r="Q17" s="258"/>
      <x:c r="R17" s="258"/>
      <x:c r="S17" s="258"/>
      <x:c r="T17" s="258"/>
      <x:c r="U17" s="258"/>
      <x:c r="V17" s="258"/>
      <x:c r="W17" s="258"/>
      <x:c r="X17" s="258"/>
      <x:c r="Y17" s="258"/>
      <x:c r="Z17" s="258"/>
    </x:row>
    <x:row r="18">
      <x:c r="A18" s="302" t="str">
        <x:v>🇲🇦 Morocco</x:v>
      </x:c>
      <x:c r="B18" s="265" t="str">
        <x:v>Neil</x:v>
      </x:c>
      <x:c r="C18" s="265" t="n">
        <x:f>IFERROR(VLOOKUP(A18,'⚽ Results Entry'!$A$4:$H$23,2,FALSE),0)</x:f>
        <x:v>0</x:v>
      </x:c>
      <x:c r="D18" s="265" t="n">
        <x:f>IFERROR(SUM(VLOOKUP(A18,'⚽ Results Entry'!$A$4:$H$23,3,FALSE):VLOOKUP(A18,'⚽ Results Entry'!$A$4:$H$23,7,FALSE)),0)</x:f>
        <x:v>0</x:v>
      </x:c>
      <x:c r="E18" s="265" t="n">
        <x:f>IFERROR(VLOOKUP(A18,'⚽ Results Entry'!$A$4:$H$23,8,FALSE),0)</x:f>
        <x:v>0</x:v>
      </x:c>
      <x:c r="F18" s="265" t="str">
        <x:v>In play</x:v>
      </x:c>
      <x:c r="G18" s="265"/>
      <x:c r="H18" s="303" t="n">
        <x:v>46182</x:v>
      </x:c>
      <x:c r="I18" s="266" t="n">
        <x:f>RANK.EQ(E18,$E$4:$E$23,0)</x:f>
        <x:v>1</x:v>
      </x:c>
      <x:c r="J18" s="258"/>
      <x:c r="K18" s="258"/>
      <x:c r="L18" s="258"/>
      <x:c r="M18" s="258"/>
      <x:c r="N18" s="258"/>
      <x:c r="O18" s="258"/>
      <x:c r="P18" s="258"/>
      <x:c r="Q18" s="258"/>
      <x:c r="R18" s="258"/>
      <x:c r="S18" s="258"/>
      <x:c r="T18" s="258"/>
      <x:c r="U18" s="258"/>
      <x:c r="V18" s="258"/>
      <x:c r="W18" s="258"/>
      <x:c r="X18" s="258"/>
      <x:c r="Y18" s="258"/>
      <x:c r="Z18" s="258"/>
    </x:row>
    <x:row r="19">
      <x:c r="A19" s="302" t="str">
        <x:v>🇺🇸 United States</x:v>
      </x:c>
      <x:c r="B19" s="265" t="str">
        <x:v>Neil</x:v>
      </x:c>
      <x:c r="C19" s="265" t="n">
        <x:f>IFERROR(VLOOKUP(A19,'⚽ Results Entry'!$A$4:$H$23,2,FALSE),0)</x:f>
        <x:v>0</x:v>
      </x:c>
      <x:c r="D19" s="265" t="n">
        <x:f>IFERROR(SUM(VLOOKUP(A19,'⚽ Results Entry'!$A$4:$H$23,3,FALSE):VLOOKUP(A19,'⚽ Results Entry'!$A$4:$H$23,7,FALSE)),0)</x:f>
        <x:v>0</x:v>
      </x:c>
      <x:c r="E19" s="265" t="n">
        <x:f>IFERROR(VLOOKUP(A19,'⚽ Results Entry'!$A$4:$H$23,8,FALSE),0)</x:f>
        <x:v>0</x:v>
      </x:c>
      <x:c r="F19" s="265" t="str">
        <x:v>In play</x:v>
      </x:c>
      <x:c r="G19" s="265"/>
      <x:c r="H19" s="303" t="n">
        <x:v>46182</x:v>
      </x:c>
      <x:c r="I19" s="266" t="n">
        <x:f>RANK.EQ(E19,$E$4:$E$23,0)</x:f>
        <x:v>1</x:v>
      </x:c>
      <x:c r="J19" s="258"/>
      <x:c r="K19" s="258"/>
      <x:c r="L19" s="258"/>
      <x:c r="M19" s="258"/>
      <x:c r="N19" s="258"/>
      <x:c r="O19" s="258"/>
      <x:c r="P19" s="258"/>
      <x:c r="Q19" s="258"/>
      <x:c r="R19" s="258"/>
      <x:c r="S19" s="258"/>
      <x:c r="T19" s="258"/>
      <x:c r="U19" s="258"/>
      <x:c r="V19" s="258"/>
      <x:c r="W19" s="258"/>
      <x:c r="X19" s="258"/>
      <x:c r="Y19" s="258"/>
      <x:c r="Z19" s="258"/>
    </x:row>
    <x:row r="20">
      <x:c r="A20" s="302" t="str">
        <x:v>🇨🇴 Colombia</x:v>
      </x:c>
      <x:c r="B20" s="265" t="str">
        <x:v>Hayley</x:v>
      </x:c>
      <x:c r="C20" s="265" t="n">
        <x:f>IFERROR(VLOOKUP(A20,'⚽ Results Entry'!$A$4:$H$23,2,FALSE),0)</x:f>
        <x:v>0</x:v>
      </x:c>
      <x:c r="D20" s="265" t="n">
        <x:f>IFERROR(SUM(VLOOKUP(A20,'⚽ Results Entry'!$A$4:$H$23,3,FALSE):VLOOKUP(A20,'⚽ Results Entry'!$A$4:$H$23,7,FALSE)),0)</x:f>
        <x:v>0</x:v>
      </x:c>
      <x:c r="E20" s="265" t="n">
        <x:f>IFERROR(VLOOKUP(A20,'⚽ Results Entry'!$A$4:$H$23,8,FALSE),0)</x:f>
        <x:v>0</x:v>
      </x:c>
      <x:c r="F20" s="265" t="str">
        <x:v>In play</x:v>
      </x:c>
      <x:c r="G20" s="265"/>
      <x:c r="H20" s="303" t="n">
        <x:v>46182</x:v>
      </x:c>
      <x:c r="I20" s="266" t="n">
        <x:f>RANK.EQ(E20,$E$4:$E$23,0)</x:f>
        <x:v>1</x:v>
      </x:c>
      <x:c r="J20" s="258"/>
      <x:c r="K20" s="258"/>
      <x:c r="L20" s="258"/>
      <x:c r="M20" s="258"/>
      <x:c r="N20" s="258"/>
      <x:c r="O20" s="258"/>
      <x:c r="P20" s="258"/>
      <x:c r="Q20" s="258"/>
      <x:c r="R20" s="258"/>
      <x:c r="S20" s="258"/>
      <x:c r="T20" s="258"/>
      <x:c r="U20" s="258"/>
      <x:c r="V20" s="258"/>
      <x:c r="W20" s="258"/>
      <x:c r="X20" s="258"/>
      <x:c r="Y20" s="258"/>
      <x:c r="Z20" s="258"/>
    </x:row>
    <x:row r="21">
      <x:c r="A21" s="302" t="str">
        <x:v>🇹🇷 Türkiye</x:v>
      </x:c>
      <x:c r="B21" s="265" t="str">
        <x:v>Hayley</x:v>
      </x:c>
      <x:c r="C21" s="265" t="n">
        <x:f>IFERROR(VLOOKUP(A21,'⚽ Results Entry'!$A$4:$H$23,2,FALSE),0)</x:f>
        <x:v>0</x:v>
      </x:c>
      <x:c r="D21" s="265" t="n">
        <x:f>IFERROR(SUM(VLOOKUP(A21,'⚽ Results Entry'!$A$4:$H$23,3,FALSE):VLOOKUP(A21,'⚽ Results Entry'!$A$4:$H$23,7,FALSE)),0)</x:f>
        <x:v>0</x:v>
      </x:c>
      <x:c r="E21" s="265" t="n">
        <x:f>IFERROR(VLOOKUP(A21,'⚽ Results Entry'!$A$4:$H$23,8,FALSE),0)</x:f>
        <x:v>0</x:v>
      </x:c>
      <x:c r="F21" s="265" t="str">
        <x:v>In play</x:v>
      </x:c>
      <x:c r="G21" s="265"/>
      <x:c r="H21" s="303" t="n">
        <x:v>46182</x:v>
      </x:c>
      <x:c r="I21" s="266" t="n">
        <x:f>RANK.EQ(E21,$E$4:$E$23,0)</x:f>
        <x:v>1</x:v>
      </x:c>
      <x:c r="J21" s="258"/>
      <x:c r="K21" s="258"/>
      <x:c r="L21" s="258"/>
      <x:c r="M21" s="258"/>
      <x:c r="N21" s="258"/>
      <x:c r="O21" s="258"/>
      <x:c r="P21" s="258"/>
      <x:c r="Q21" s="258"/>
      <x:c r="R21" s="258"/>
      <x:c r="S21" s="258"/>
      <x:c r="T21" s="258"/>
      <x:c r="U21" s="258"/>
      <x:c r="V21" s="258"/>
      <x:c r="W21" s="258"/>
      <x:c r="X21" s="258"/>
      <x:c r="Y21" s="258"/>
      <x:c r="Z21" s="258"/>
    </x:row>
    <x:row r="22">
      <x:c r="A22" s="302" t="str">
        <x:v>🇸🇳 Senegal</x:v>
      </x:c>
      <x:c r="B22" s="265" t="str">
        <x:v>Becca</x:v>
      </x:c>
      <x:c r="C22" s="265" t="n">
        <x:f>IFERROR(VLOOKUP(A22,'⚽ Results Entry'!$A$4:$H$23,2,FALSE),0)</x:f>
        <x:v>0</x:v>
      </x:c>
      <x:c r="D22" s="265" t="n">
        <x:f>IFERROR(SUM(VLOOKUP(A22,'⚽ Results Entry'!$A$4:$H$23,3,FALSE):VLOOKUP(A22,'⚽ Results Entry'!$A$4:$H$23,7,FALSE)),0)</x:f>
        <x:v>0</x:v>
      </x:c>
      <x:c r="E22" s="265" t="n">
        <x:f>IFERROR(VLOOKUP(A22,'⚽ Results Entry'!$A$4:$H$23,8,FALSE),0)</x:f>
        <x:v>0</x:v>
      </x:c>
      <x:c r="F22" s="265" t="str">
        <x:v>In play</x:v>
      </x:c>
      <x:c r="G22" s="265"/>
      <x:c r="H22" s="303" t="n">
        <x:v>46182</x:v>
      </x:c>
      <x:c r="I22" s="266" t="n">
        <x:f>RANK.EQ(E22,$E$4:$E$23,0)</x:f>
        <x:v>1</x:v>
      </x:c>
      <x:c r="J22" s="258"/>
      <x:c r="K22" s="258"/>
      <x:c r="L22" s="258"/>
      <x:c r="M22" s="258"/>
      <x:c r="N22" s="258"/>
      <x:c r="O22" s="258"/>
      <x:c r="P22" s="258"/>
      <x:c r="Q22" s="258"/>
      <x:c r="R22" s="258"/>
      <x:c r="S22" s="258"/>
      <x:c r="T22" s="258"/>
      <x:c r="U22" s="258"/>
      <x:c r="V22" s="258"/>
      <x:c r="W22" s="258"/>
      <x:c r="X22" s="258"/>
      <x:c r="Y22" s="258"/>
      <x:c r="Z22" s="258"/>
    </x:row>
    <x:row r="23">
      <x:c r="A23" s="304" t="str">
        <x:v>🇺🇾 Uruguay</x:v>
      </x:c>
      <x:c r="B23" s="269" t="str">
        <x:v>Becca</x:v>
      </x:c>
      <x:c r="C23" s="269" t="n">
        <x:f>IFERROR(VLOOKUP(A23,'⚽ Results Entry'!$A$4:$H$23,2,FALSE),0)</x:f>
        <x:v>0</x:v>
      </x:c>
      <x:c r="D23" s="269" t="n">
        <x:f>IFERROR(SUM(VLOOKUP(A23,'⚽ Results Entry'!$A$4:$H$23,3,FALSE):VLOOKUP(A23,'⚽ Results Entry'!$A$4:$H$23,7,FALSE)),0)</x:f>
        <x:v>0</x:v>
      </x:c>
      <x:c r="E23" s="269" t="n">
        <x:f>IFERROR(VLOOKUP(A23,'⚽ Results Entry'!$A$4:$H$23,8,FALSE),0)</x:f>
        <x:v>0</x:v>
      </x:c>
      <x:c r="F23" s="269" t="str">
        <x:v>In play</x:v>
      </x:c>
      <x:c r="G23" s="269"/>
      <x:c r="H23" s="305" t="n">
        <x:v>46182</x:v>
      </x:c>
      <x:c r="I23" s="270" t="n">
        <x:f>RANK.EQ(E23,$E$4:$E$23,0)</x:f>
        <x:v>1</x:v>
      </x:c>
      <x:c r="J23" s="258"/>
      <x:c r="K23" s="258"/>
      <x:c r="L23" s="258"/>
      <x:c r="M23" s="258"/>
      <x:c r="N23" s="258"/>
      <x:c r="O23" s="258"/>
      <x:c r="P23" s="258"/>
      <x:c r="Q23" s="258"/>
      <x:c r="R23" s="258"/>
      <x:c r="S23" s="258"/>
      <x:c r="T23" s="258"/>
      <x:c r="U23" s="258"/>
      <x:c r="V23" s="258"/>
      <x:c r="W23" s="258"/>
      <x:c r="X23" s="258"/>
      <x:c r="Y23" s="258"/>
      <x:c r="Z23" s="258"/>
    </x:row>
    <x:row r="24">
      <x:c r="A24" s="258"/>
      <x:c r="B24" s="258"/>
      <x:c r="C24" s="258"/>
      <x:c r="D24" s="258"/>
      <x:c r="E24" s="258"/>
      <x:c r="F24" s="258"/>
      <x:c r="G24" s="258"/>
      <x:c r="H24" s="258"/>
      <x:c r="I24" s="258"/>
      <x:c r="J24" s="258"/>
      <x:c r="K24" s="258"/>
      <x:c r="L24" s="258"/>
      <x:c r="M24" s="258"/>
      <x:c r="N24" s="258"/>
      <x:c r="O24" s="258"/>
      <x:c r="P24" s="258"/>
      <x:c r="Q24" s="258"/>
      <x:c r="R24" s="258"/>
      <x:c r="S24" s="258"/>
      <x:c r="T24" s="258"/>
      <x:c r="U24" s="258"/>
      <x:c r="V24" s="258"/>
      <x:c r="W24" s="258"/>
      <x:c r="X24" s="258"/>
      <x:c r="Y24" s="258"/>
      <x:c r="Z24" s="258"/>
    </x:row>
    <x:row r="25">
      <x:c r="A25" s="258"/>
      <x:c r="B25" s="258"/>
      <x:c r="C25" s="258"/>
      <x:c r="D25" s="258"/>
      <x:c r="E25" s="258"/>
      <x:c r="F25" s="258"/>
      <x:c r="G25" s="258"/>
      <x:c r="H25" s="258"/>
      <x:c r="I25" s="258"/>
      <x:c r="J25" s="258"/>
      <x:c r="K25" s="258"/>
      <x:c r="L25" s="258"/>
      <x:c r="M25" s="258"/>
      <x:c r="N25" s="258"/>
      <x:c r="O25" s="258"/>
      <x:c r="P25" s="258"/>
      <x:c r="Q25" s="258"/>
      <x:c r="R25" s="258"/>
      <x:c r="S25" s="258"/>
      <x:c r="T25" s="258"/>
      <x:c r="U25" s="258"/>
      <x:c r="V25" s="258"/>
      <x:c r="W25" s="258"/>
      <x:c r="X25" s="258"/>
      <x:c r="Y25" s="258"/>
      <x:c r="Z25" s="258"/>
    </x:row>
    <x:row r="26">
      <x:c r="A26" s="258"/>
      <x:c r="B26" s="258"/>
      <x:c r="C26" s="258"/>
      <x:c r="D26" s="258"/>
      <x:c r="E26" s="258"/>
      <x:c r="F26" s="258"/>
      <x:c r="G26" s="258"/>
      <x:c r="H26" s="258"/>
      <x:c r="I26" s="258"/>
      <x:c r="J26" s="258"/>
      <x:c r="K26" s="258"/>
      <x:c r="L26" s="258"/>
      <x:c r="M26" s="258"/>
      <x:c r="N26" s="258"/>
      <x:c r="O26" s="258"/>
      <x:c r="P26" s="258"/>
      <x:c r="Q26" s="258"/>
      <x:c r="R26" s="258"/>
      <x:c r="S26" s="258"/>
      <x:c r="T26" s="258"/>
      <x:c r="U26" s="258"/>
      <x:c r="V26" s="258"/>
      <x:c r="W26" s="258"/>
      <x:c r="X26" s="258"/>
      <x:c r="Y26" s="258"/>
      <x:c r="Z26" s="258"/>
    </x:row>
    <x:row r="27">
      <x:c r="A27" s="258"/>
      <x:c r="B27" s="258"/>
      <x:c r="C27" s="258"/>
      <x:c r="D27" s="258"/>
      <x:c r="E27" s="258"/>
      <x:c r="F27" s="258"/>
      <x:c r="G27" s="258"/>
      <x:c r="H27" s="258"/>
      <x:c r="I27" s="258"/>
      <x:c r="J27" s="258"/>
      <x:c r="K27" s="258"/>
      <x:c r="L27" s="258"/>
      <x:c r="M27" s="258"/>
      <x:c r="N27" s="258"/>
      <x:c r="O27" s="258"/>
      <x:c r="P27" s="258"/>
      <x:c r="Q27" s="258"/>
      <x:c r="R27" s="258"/>
      <x:c r="S27" s="258"/>
      <x:c r="T27" s="258"/>
      <x:c r="U27" s="258"/>
      <x:c r="V27" s="258"/>
      <x:c r="W27" s="258"/>
      <x:c r="X27" s="258"/>
      <x:c r="Y27" s="258"/>
      <x:c r="Z27" s="258"/>
    </x:row>
    <x:row r="28">
      <x:c r="A28" s="258"/>
      <x:c r="B28" s="258"/>
      <x:c r="C28" s="258"/>
      <x:c r="D28" s="258"/>
      <x:c r="E28" s="258"/>
      <x:c r="F28" s="258"/>
      <x:c r="G28" s="258"/>
      <x:c r="H28" s="258"/>
      <x:c r="I28" s="258"/>
      <x:c r="J28" s="258"/>
      <x:c r="K28" s="258"/>
      <x:c r="L28" s="258"/>
      <x:c r="M28" s="258"/>
      <x:c r="N28" s="258"/>
      <x:c r="O28" s="258"/>
      <x:c r="P28" s="258"/>
      <x:c r="Q28" s="258"/>
      <x:c r="R28" s="258"/>
      <x:c r="S28" s="258"/>
      <x:c r="T28" s="258"/>
      <x:c r="U28" s="258"/>
      <x:c r="V28" s="258"/>
      <x:c r="W28" s="258"/>
      <x:c r="X28" s="258"/>
      <x:c r="Y28" s="258"/>
      <x:c r="Z28" s="258"/>
    </x:row>
    <x:row r="29">
      <x:c r="A29" s="258"/>
      <x:c r="B29" s="258"/>
      <x:c r="C29" s="258"/>
      <x:c r="D29" s="258"/>
      <x:c r="E29" s="258"/>
      <x:c r="F29" s="258"/>
      <x:c r="G29" s="258"/>
      <x:c r="H29" s="258"/>
      <x:c r="I29" s="258"/>
      <x:c r="J29" s="258"/>
      <x:c r="K29" s="258"/>
      <x:c r="L29" s="258"/>
      <x:c r="M29" s="258"/>
      <x:c r="N29" s="258"/>
      <x:c r="O29" s="258"/>
      <x:c r="P29" s="258"/>
      <x:c r="Q29" s="258"/>
      <x:c r="R29" s="258"/>
      <x:c r="S29" s="258"/>
      <x:c r="T29" s="258"/>
      <x:c r="U29" s="258"/>
      <x:c r="V29" s="258"/>
      <x:c r="W29" s="258"/>
      <x:c r="X29" s="258"/>
      <x:c r="Y29" s="258"/>
      <x:c r="Z29" s="258"/>
    </x:row>
    <x:row r="30">
      <x:c r="A30" s="258"/>
      <x:c r="B30" s="258"/>
      <x:c r="C30" s="258"/>
      <x:c r="D30" s="258"/>
      <x:c r="E30" s="258"/>
      <x:c r="F30" s="258"/>
      <x:c r="G30" s="258"/>
      <x:c r="H30" s="258"/>
      <x:c r="I30" s="258"/>
      <x:c r="J30" s="258"/>
      <x:c r="K30" s="258"/>
      <x:c r="L30" s="258"/>
      <x:c r="M30" s="258"/>
      <x:c r="N30" s="258"/>
      <x:c r="O30" s="258"/>
      <x:c r="P30" s="258"/>
      <x:c r="Q30" s="258"/>
      <x:c r="R30" s="258"/>
      <x:c r="S30" s="258"/>
      <x:c r="T30" s="258"/>
      <x:c r="U30" s="258"/>
      <x:c r="V30" s="258"/>
      <x:c r="W30" s="258"/>
      <x:c r="X30" s="258"/>
      <x:c r="Y30" s="258"/>
      <x:c r="Z30" s="258"/>
    </x:row>
    <x:row r="31">
      <x:c r="A31" s="258"/>
      <x:c r="B31" s="258"/>
      <x:c r="C31" s="258"/>
      <x:c r="D31" s="258"/>
      <x:c r="E31" s="258"/>
      <x:c r="F31" s="258"/>
      <x:c r="G31" s="258"/>
      <x:c r="H31" s="258"/>
      <x:c r="I31" s="258"/>
      <x:c r="J31" s="258"/>
      <x:c r="K31" s="258"/>
      <x:c r="L31" s="258"/>
      <x:c r="M31" s="258"/>
      <x:c r="N31" s="258"/>
      <x:c r="O31" s="258"/>
      <x:c r="P31" s="258"/>
      <x:c r="Q31" s="258"/>
      <x:c r="R31" s="258"/>
      <x:c r="S31" s="258"/>
      <x:c r="T31" s="258"/>
      <x:c r="U31" s="258"/>
      <x:c r="V31" s="258"/>
      <x:c r="W31" s="258"/>
      <x:c r="X31" s="258"/>
      <x:c r="Y31" s="258"/>
      <x:c r="Z31" s="258"/>
    </x:row>
    <x:row r="32">
      <x:c r="A32" s="258"/>
      <x:c r="B32" s="258"/>
      <x:c r="C32" s="258"/>
      <x:c r="D32" s="258"/>
      <x:c r="E32" s="258"/>
      <x:c r="F32" s="258"/>
      <x:c r="G32" s="258"/>
      <x:c r="H32" s="258"/>
      <x:c r="I32" s="258"/>
      <x:c r="J32" s="258"/>
      <x:c r="K32" s="258"/>
      <x:c r="L32" s="258"/>
      <x:c r="M32" s="258"/>
      <x:c r="N32" s="258"/>
      <x:c r="O32" s="258"/>
      <x:c r="P32" s="258"/>
      <x:c r="Q32" s="258"/>
      <x:c r="R32" s="258"/>
      <x:c r="S32" s="258"/>
      <x:c r="T32" s="258"/>
      <x:c r="U32" s="258"/>
      <x:c r="V32" s="258"/>
      <x:c r="W32" s="258"/>
      <x:c r="X32" s="258"/>
      <x:c r="Y32" s="258"/>
      <x:c r="Z32" s="258"/>
    </x:row>
    <x:row r="33">
      <x:c r="A33" s="258"/>
      <x:c r="B33" s="258"/>
      <x:c r="C33" s="258"/>
      <x:c r="D33" s="258"/>
      <x:c r="E33" s="258"/>
      <x:c r="F33" s="258"/>
      <x:c r="G33" s="258"/>
      <x:c r="H33" s="258"/>
      <x:c r="I33" s="258"/>
      <x:c r="J33" s="258"/>
      <x:c r="K33" s="258"/>
      <x:c r="L33" s="258"/>
      <x:c r="M33" s="258"/>
      <x:c r="N33" s="258"/>
      <x:c r="O33" s="258"/>
      <x:c r="P33" s="258"/>
      <x:c r="Q33" s="258"/>
      <x:c r="R33" s="258"/>
      <x:c r="S33" s="258"/>
      <x:c r="T33" s="258"/>
      <x:c r="U33" s="258"/>
      <x:c r="V33" s="258"/>
      <x:c r="W33" s="258"/>
      <x:c r="X33" s="258"/>
      <x:c r="Y33" s="258"/>
      <x:c r="Z33" s="258"/>
    </x:row>
    <x:row r="34">
      <x:c r="A34" s="258"/>
      <x:c r="B34" s="258"/>
      <x:c r="C34" s="258"/>
      <x:c r="D34" s="258"/>
      <x:c r="E34" s="258"/>
      <x:c r="F34" s="258"/>
      <x:c r="G34" s="258"/>
      <x:c r="H34" s="258"/>
      <x:c r="I34" s="258"/>
      <x:c r="J34" s="258"/>
      <x:c r="K34" s="258"/>
      <x:c r="L34" s="258"/>
      <x:c r="M34" s="258"/>
      <x:c r="N34" s="258"/>
      <x:c r="O34" s="258"/>
      <x:c r="P34" s="258"/>
      <x:c r="Q34" s="258"/>
      <x:c r="R34" s="258"/>
      <x:c r="S34" s="258"/>
      <x:c r="T34" s="258"/>
      <x:c r="U34" s="258"/>
      <x:c r="V34" s="258"/>
      <x:c r="W34" s="258"/>
      <x:c r="X34" s="258"/>
      <x:c r="Y34" s="258"/>
      <x:c r="Z34" s="258"/>
    </x:row>
    <x:row r="35">
      <x:c r="A35" s="258"/>
      <x:c r="B35" s="258"/>
      <x:c r="C35" s="258"/>
      <x:c r="D35" s="258"/>
      <x:c r="E35" s="258"/>
      <x:c r="F35" s="258"/>
      <x:c r="G35" s="258"/>
      <x:c r="H35" s="258"/>
      <x:c r="I35" s="258"/>
      <x:c r="J35" s="258"/>
      <x:c r="K35" s="258"/>
      <x:c r="L35" s="258"/>
      <x:c r="M35" s="258"/>
      <x:c r="N35" s="258"/>
      <x:c r="O35" s="258"/>
      <x:c r="P35" s="258"/>
      <x:c r="Q35" s="258"/>
      <x:c r="R35" s="258"/>
      <x:c r="S35" s="258"/>
      <x:c r="T35" s="258"/>
      <x:c r="U35" s="258"/>
      <x:c r="V35" s="258"/>
      <x:c r="W35" s="258"/>
      <x:c r="X35" s="258"/>
      <x:c r="Y35" s="258"/>
      <x:c r="Z35" s="258"/>
    </x:row>
    <x:row r="36">
      <x:c r="A36" s="258"/>
      <x:c r="B36" s="258"/>
      <x:c r="C36" s="258"/>
      <x:c r="D36" s="258"/>
      <x:c r="E36" s="258"/>
      <x:c r="F36" s="258"/>
      <x:c r="G36" s="258"/>
      <x:c r="H36" s="258"/>
      <x:c r="I36" s="258"/>
      <x:c r="J36" s="258"/>
      <x:c r="K36" s="258"/>
      <x:c r="L36" s="258"/>
      <x:c r="M36" s="258"/>
      <x:c r="N36" s="258"/>
      <x:c r="O36" s="258"/>
      <x:c r="P36" s="258"/>
      <x:c r="Q36" s="258"/>
      <x:c r="R36" s="258"/>
      <x:c r="S36" s="258"/>
      <x:c r="T36" s="258"/>
      <x:c r="U36" s="258"/>
      <x:c r="V36" s="258"/>
      <x:c r="W36" s="258"/>
      <x:c r="X36" s="258"/>
      <x:c r="Y36" s="258"/>
      <x:c r="Z36" s="258"/>
    </x:row>
    <x:row r="37">
      <x:c r="A37" s="258"/>
      <x:c r="B37" s="258"/>
      <x:c r="C37" s="258"/>
      <x:c r="D37" s="258"/>
      <x:c r="E37" s="258"/>
      <x:c r="F37" s="258"/>
      <x:c r="G37" s="258"/>
      <x:c r="H37" s="258"/>
      <x:c r="I37" s="258"/>
      <x:c r="J37" s="258"/>
      <x:c r="K37" s="258"/>
      <x:c r="L37" s="258"/>
      <x:c r="M37" s="258"/>
      <x:c r="N37" s="258"/>
      <x:c r="O37" s="258"/>
      <x:c r="P37" s="258"/>
      <x:c r="Q37" s="258"/>
      <x:c r="R37" s="258"/>
      <x:c r="S37" s="258"/>
      <x:c r="T37" s="258"/>
      <x:c r="U37" s="258"/>
      <x:c r="V37" s="258"/>
      <x:c r="W37" s="258"/>
      <x:c r="X37" s="258"/>
      <x:c r="Y37" s="258"/>
      <x:c r="Z37" s="258"/>
    </x:row>
    <x:row r="38">
      <x:c r="A38" s="258"/>
      <x:c r="B38" s="258"/>
      <x:c r="C38" s="258"/>
      <x:c r="D38" s="258"/>
      <x:c r="E38" s="258"/>
      <x:c r="F38" s="258"/>
      <x:c r="G38" s="258"/>
      <x:c r="H38" s="258"/>
      <x:c r="I38" s="258"/>
      <x:c r="J38" s="258"/>
      <x:c r="K38" s="258"/>
      <x:c r="L38" s="258"/>
      <x:c r="M38" s="258"/>
      <x:c r="N38" s="258"/>
      <x:c r="O38" s="258"/>
      <x:c r="P38" s="258"/>
      <x:c r="Q38" s="258"/>
      <x:c r="R38" s="258"/>
      <x:c r="S38" s="258"/>
      <x:c r="T38" s="258"/>
      <x:c r="U38" s="258"/>
      <x:c r="V38" s="258"/>
      <x:c r="W38" s="258"/>
      <x:c r="X38" s="258"/>
      <x:c r="Y38" s="258"/>
      <x:c r="Z38" s="258"/>
    </x:row>
    <x:row r="39">
      <x:c r="A39" s="258"/>
      <x:c r="B39" s="258"/>
      <x:c r="C39" s="258"/>
      <x:c r="D39" s="258"/>
      <x:c r="E39" s="258"/>
      <x:c r="F39" s="258"/>
      <x:c r="G39" s="258"/>
      <x:c r="H39" s="258"/>
      <x:c r="I39" s="258"/>
      <x:c r="J39" s="258"/>
      <x:c r="K39" s="258"/>
      <x:c r="L39" s="258"/>
      <x:c r="M39" s="258"/>
      <x:c r="N39" s="258"/>
      <x:c r="O39" s="258"/>
      <x:c r="P39" s="258"/>
      <x:c r="Q39" s="258"/>
      <x:c r="R39" s="258"/>
      <x:c r="S39" s="258"/>
      <x:c r="T39" s="258"/>
      <x:c r="U39" s="258"/>
      <x:c r="V39" s="258"/>
      <x:c r="W39" s="258"/>
      <x:c r="X39" s="258"/>
      <x:c r="Y39" s="258"/>
      <x:c r="Z39" s="258"/>
    </x:row>
    <x:row r="40">
      <x:c r="A40" s="258"/>
      <x:c r="B40" s="258"/>
      <x:c r="C40" s="258"/>
      <x:c r="D40" s="258"/>
      <x:c r="E40" s="258"/>
      <x:c r="F40" s="258"/>
      <x:c r="G40" s="258"/>
      <x:c r="H40" s="258"/>
      <x:c r="I40" s="258"/>
      <x:c r="J40" s="258"/>
      <x:c r="K40" s="258"/>
      <x:c r="L40" s="258"/>
      <x:c r="M40" s="258"/>
      <x:c r="N40" s="258"/>
      <x:c r="O40" s="258"/>
      <x:c r="P40" s="258"/>
      <x:c r="Q40" s="258"/>
      <x:c r="R40" s="258"/>
      <x:c r="S40" s="258"/>
      <x:c r="T40" s="258"/>
      <x:c r="U40" s="258"/>
      <x:c r="V40" s="258"/>
      <x:c r="W40" s="258"/>
      <x:c r="X40" s="258"/>
      <x:c r="Y40" s="258"/>
      <x:c r="Z40" s="258"/>
    </x:row>
    <x:row r="41">
      <x:c r="A41" s="258"/>
      <x:c r="B41" s="258"/>
      <x:c r="C41" s="258"/>
      <x:c r="D41" s="258"/>
      <x:c r="E41" s="258"/>
      <x:c r="F41" s="258"/>
      <x:c r="G41" s="258"/>
      <x:c r="H41" s="258"/>
      <x:c r="I41" s="258"/>
      <x:c r="J41" s="258"/>
      <x:c r="K41" s="258"/>
      <x:c r="L41" s="258"/>
      <x:c r="M41" s="258"/>
      <x:c r="N41" s="258"/>
      <x:c r="O41" s="258"/>
      <x:c r="P41" s="258"/>
      <x:c r="Q41" s="258"/>
      <x:c r="R41" s="258"/>
      <x:c r="S41" s="258"/>
      <x:c r="T41" s="258"/>
      <x:c r="U41" s="258"/>
      <x:c r="V41" s="258"/>
      <x:c r="W41" s="258"/>
      <x:c r="X41" s="258"/>
      <x:c r="Y41" s="258"/>
      <x:c r="Z41" s="258"/>
    </x:row>
    <x:row r="42">
      <x:c r="A42" s="258"/>
      <x:c r="B42" s="258"/>
      <x:c r="C42" s="258"/>
      <x:c r="D42" s="258"/>
      <x:c r="E42" s="258"/>
      <x:c r="F42" s="258"/>
      <x:c r="G42" s="258"/>
      <x:c r="H42" s="258"/>
      <x:c r="I42" s="258"/>
      <x:c r="J42" s="258"/>
      <x:c r="K42" s="258"/>
      <x:c r="L42" s="258"/>
      <x:c r="M42" s="258"/>
      <x:c r="N42" s="258"/>
      <x:c r="O42" s="258"/>
      <x:c r="P42" s="258"/>
      <x:c r="Q42" s="258"/>
      <x:c r="R42" s="258"/>
      <x:c r="S42" s="258"/>
      <x:c r="T42" s="258"/>
      <x:c r="U42" s="258"/>
      <x:c r="V42" s="258"/>
      <x:c r="W42" s="258"/>
      <x:c r="X42" s="258"/>
      <x:c r="Y42" s="258"/>
      <x:c r="Z42" s="258"/>
    </x:row>
    <x:row r="43">
      <x:c r="A43" s="258"/>
      <x:c r="B43" s="258"/>
      <x:c r="C43" s="258"/>
      <x:c r="D43" s="258"/>
      <x:c r="E43" s="258"/>
      <x:c r="F43" s="258"/>
      <x:c r="G43" s="258"/>
      <x:c r="H43" s="258"/>
      <x:c r="I43" s="258"/>
      <x:c r="J43" s="258"/>
      <x:c r="K43" s="258"/>
      <x:c r="L43" s="258"/>
      <x:c r="M43" s="258"/>
      <x:c r="N43" s="258"/>
      <x:c r="O43" s="258"/>
      <x:c r="P43" s="258"/>
      <x:c r="Q43" s="258"/>
      <x:c r="R43" s="258"/>
      <x:c r="S43" s="258"/>
      <x:c r="T43" s="258"/>
      <x:c r="U43" s="258"/>
      <x:c r="V43" s="258"/>
      <x:c r="W43" s="258"/>
      <x:c r="X43" s="258"/>
      <x:c r="Y43" s="258"/>
      <x:c r="Z43" s="258"/>
    </x:row>
    <x:row r="44">
      <x:c r="A44" s="258"/>
      <x:c r="B44" s="258"/>
      <x:c r="C44" s="258"/>
      <x:c r="D44" s="258"/>
      <x:c r="E44" s="258"/>
      <x:c r="F44" s="258"/>
      <x:c r="G44" s="258"/>
      <x:c r="H44" s="258"/>
      <x:c r="I44" s="258"/>
      <x:c r="J44" s="258"/>
      <x:c r="K44" s="258"/>
      <x:c r="L44" s="258"/>
      <x:c r="M44" s="258"/>
      <x:c r="N44" s="258"/>
      <x:c r="O44" s="258"/>
      <x:c r="P44" s="258"/>
      <x:c r="Q44" s="258"/>
      <x:c r="R44" s="258"/>
      <x:c r="S44" s="258"/>
      <x:c r="T44" s="258"/>
      <x:c r="U44" s="258"/>
      <x:c r="V44" s="258"/>
      <x:c r="W44" s="258"/>
      <x:c r="X44" s="258"/>
      <x:c r="Y44" s="258"/>
      <x:c r="Z44" s="258"/>
    </x:row>
    <x:row r="45">
      <x:c r="A45" s="258"/>
      <x:c r="B45" s="258"/>
      <x:c r="C45" s="258"/>
      <x:c r="D45" s="258"/>
      <x:c r="E45" s="258"/>
      <x:c r="F45" s="258"/>
      <x:c r="G45" s="258"/>
      <x:c r="H45" s="258"/>
      <x:c r="I45" s="258"/>
      <x:c r="J45" s="258"/>
      <x:c r="K45" s="258"/>
      <x:c r="L45" s="258"/>
      <x:c r="M45" s="258"/>
      <x:c r="N45" s="258"/>
      <x:c r="O45" s="258"/>
      <x:c r="P45" s="258"/>
      <x:c r="Q45" s="258"/>
      <x:c r="R45" s="258"/>
      <x:c r="S45" s="258"/>
      <x:c r="T45" s="258"/>
      <x:c r="U45" s="258"/>
      <x:c r="V45" s="258"/>
      <x:c r="W45" s="258"/>
      <x:c r="X45" s="258"/>
      <x:c r="Y45" s="258"/>
      <x:c r="Z45" s="258"/>
    </x:row>
    <x:row r="46">
      <x:c r="A46" s="258"/>
      <x:c r="B46" s="258"/>
      <x:c r="C46" s="258"/>
      <x:c r="D46" s="258"/>
      <x:c r="E46" s="258"/>
      <x:c r="F46" s="258"/>
      <x:c r="G46" s="258"/>
      <x:c r="H46" s="258"/>
      <x:c r="I46" s="258"/>
      <x:c r="J46" s="258"/>
      <x:c r="K46" s="258"/>
      <x:c r="L46" s="258"/>
      <x:c r="M46" s="258"/>
      <x:c r="N46" s="258"/>
      <x:c r="O46" s="258"/>
      <x:c r="P46" s="258"/>
      <x:c r="Q46" s="258"/>
      <x:c r="R46" s="258"/>
      <x:c r="S46" s="258"/>
      <x:c r="T46" s="258"/>
      <x:c r="U46" s="258"/>
      <x:c r="V46" s="258"/>
      <x:c r="W46" s="258"/>
      <x:c r="X46" s="258"/>
      <x:c r="Y46" s="258"/>
      <x:c r="Z46" s="258"/>
    </x:row>
    <x:row r="47">
      <x:c r="A47" s="258"/>
      <x:c r="B47" s="258"/>
      <x:c r="C47" s="258"/>
      <x:c r="D47" s="258"/>
      <x:c r="E47" s="258"/>
      <x:c r="F47" s="258"/>
      <x:c r="G47" s="258"/>
      <x:c r="H47" s="258"/>
      <x:c r="I47" s="258"/>
      <x:c r="J47" s="258"/>
      <x:c r="K47" s="258"/>
      <x:c r="L47" s="258"/>
      <x:c r="M47" s="258"/>
      <x:c r="N47" s="258"/>
      <x:c r="O47" s="258"/>
      <x:c r="P47" s="258"/>
      <x:c r="Q47" s="258"/>
      <x:c r="R47" s="258"/>
      <x:c r="S47" s="258"/>
      <x:c r="T47" s="258"/>
      <x:c r="U47" s="258"/>
      <x:c r="V47" s="258"/>
      <x:c r="W47" s="258"/>
      <x:c r="X47" s="258"/>
      <x:c r="Y47" s="258"/>
      <x:c r="Z47" s="258"/>
    </x:row>
    <x:row r="48">
      <x:c r="A48" s="258"/>
      <x:c r="B48" s="258"/>
      <x:c r="C48" s="258"/>
      <x:c r="D48" s="258"/>
      <x:c r="E48" s="258"/>
      <x:c r="F48" s="258"/>
      <x:c r="G48" s="258"/>
      <x:c r="H48" s="258"/>
      <x:c r="I48" s="258"/>
      <x:c r="J48" s="258"/>
      <x:c r="K48" s="258"/>
      <x:c r="L48" s="258"/>
      <x:c r="M48" s="258"/>
      <x:c r="N48" s="258"/>
      <x:c r="O48" s="258"/>
      <x:c r="P48" s="258"/>
      <x:c r="Q48" s="258"/>
      <x:c r="R48" s="258"/>
      <x:c r="S48" s="258"/>
      <x:c r="T48" s="258"/>
      <x:c r="U48" s="258"/>
      <x:c r="V48" s="258"/>
      <x:c r="W48" s="258"/>
      <x:c r="X48" s="258"/>
      <x:c r="Y48" s="258"/>
      <x:c r="Z48" s="258"/>
    </x:row>
    <x:row r="49">
      <x:c r="A49" s="258"/>
      <x:c r="B49" s="258"/>
      <x:c r="C49" s="258"/>
      <x:c r="D49" s="258"/>
      <x:c r="E49" s="258"/>
      <x:c r="F49" s="258"/>
      <x:c r="G49" s="258"/>
      <x:c r="H49" s="258"/>
      <x:c r="I49" s="258"/>
      <x:c r="J49" s="258"/>
      <x:c r="K49" s="258"/>
      <x:c r="L49" s="258"/>
      <x:c r="M49" s="258"/>
      <x:c r="N49" s="258"/>
      <x:c r="O49" s="258"/>
      <x:c r="P49" s="258"/>
      <x:c r="Q49" s="258"/>
      <x:c r="R49" s="258"/>
      <x:c r="S49" s="258"/>
      <x:c r="T49" s="258"/>
      <x:c r="U49" s="258"/>
      <x:c r="V49" s="258"/>
      <x:c r="W49" s="258"/>
      <x:c r="X49" s="258"/>
      <x:c r="Y49" s="258"/>
      <x:c r="Z49" s="258"/>
    </x:row>
    <x:row r="50">
      <x:c r="A50" s="258"/>
      <x:c r="B50" s="258"/>
      <x:c r="C50" s="258"/>
      <x:c r="D50" s="258"/>
      <x:c r="E50" s="258"/>
      <x:c r="F50" s="258"/>
      <x:c r="G50" s="258"/>
      <x:c r="H50" s="258"/>
      <x:c r="I50" s="258"/>
      <x:c r="J50" s="258"/>
      <x:c r="K50" s="258"/>
      <x:c r="L50" s="258"/>
      <x:c r="M50" s="258"/>
      <x:c r="N50" s="258"/>
      <x:c r="O50" s="258"/>
      <x:c r="P50" s="258"/>
      <x:c r="Q50" s="258"/>
      <x:c r="R50" s="258"/>
      <x:c r="S50" s="258"/>
      <x:c r="T50" s="258"/>
      <x:c r="U50" s="258"/>
      <x:c r="V50" s="258"/>
      <x:c r="W50" s="258"/>
      <x:c r="X50" s="258"/>
      <x:c r="Y50" s="258"/>
      <x:c r="Z50" s="258"/>
    </x:row>
    <x:row r="51">
      <x:c r="A51" s="258"/>
      <x:c r="B51" s="258"/>
      <x:c r="C51" s="258"/>
      <x:c r="D51" s="258"/>
      <x:c r="E51" s="258"/>
      <x:c r="F51" s="258"/>
      <x:c r="G51" s="258"/>
      <x:c r="H51" s="258"/>
      <x:c r="I51" s="258"/>
      <x:c r="J51" s="258"/>
      <x:c r="K51" s="258"/>
      <x:c r="L51" s="258"/>
      <x:c r="M51" s="258"/>
      <x:c r="N51" s="258"/>
      <x:c r="O51" s="258"/>
      <x:c r="P51" s="258"/>
      <x:c r="Q51" s="258"/>
      <x:c r="R51" s="258"/>
      <x:c r="S51" s="258"/>
      <x:c r="T51" s="258"/>
      <x:c r="U51" s="258"/>
      <x:c r="V51" s="258"/>
      <x:c r="W51" s="258"/>
      <x:c r="X51" s="258"/>
      <x:c r="Y51" s="258"/>
      <x:c r="Z51" s="258"/>
    </x:row>
    <x:row r="52">
      <x:c r="A52" s="258"/>
      <x:c r="B52" s="258"/>
      <x:c r="C52" s="258"/>
      <x:c r="D52" s="258"/>
      <x:c r="E52" s="258"/>
      <x:c r="F52" s="258"/>
      <x:c r="G52" s="258"/>
      <x:c r="H52" s="258"/>
      <x:c r="I52" s="258"/>
      <x:c r="J52" s="258"/>
      <x:c r="K52" s="258"/>
      <x:c r="L52" s="258"/>
      <x:c r="M52" s="258"/>
      <x:c r="N52" s="258"/>
      <x:c r="O52" s="258"/>
      <x:c r="P52" s="258"/>
      <x:c r="Q52" s="258"/>
      <x:c r="R52" s="258"/>
      <x:c r="S52" s="258"/>
      <x:c r="T52" s="258"/>
      <x:c r="U52" s="258"/>
      <x:c r="V52" s="258"/>
      <x:c r="W52" s="258"/>
      <x:c r="X52" s="258"/>
      <x:c r="Y52" s="258"/>
      <x:c r="Z52" s="258"/>
    </x:row>
    <x:row r="53">
      <x:c r="A53" s="258"/>
      <x:c r="B53" s="258"/>
      <x:c r="C53" s="258"/>
      <x:c r="D53" s="258"/>
      <x:c r="E53" s="258"/>
      <x:c r="F53" s="258"/>
      <x:c r="G53" s="258"/>
      <x:c r="H53" s="258"/>
      <x:c r="I53" s="258"/>
      <x:c r="J53" s="258"/>
      <x:c r="K53" s="258"/>
      <x:c r="L53" s="258"/>
      <x:c r="M53" s="258"/>
      <x:c r="N53" s="258"/>
      <x:c r="O53" s="258"/>
      <x:c r="P53" s="258"/>
      <x:c r="Q53" s="258"/>
      <x:c r="R53" s="258"/>
      <x:c r="S53" s="258"/>
      <x:c r="T53" s="258"/>
      <x:c r="U53" s="258"/>
      <x:c r="V53" s="258"/>
      <x:c r="W53" s="258"/>
      <x:c r="X53" s="258"/>
      <x:c r="Y53" s="258"/>
      <x:c r="Z53" s="258"/>
    </x:row>
    <x:row r="54">
      <x:c r="A54" s="258"/>
      <x:c r="B54" s="258"/>
      <x:c r="C54" s="258"/>
      <x:c r="D54" s="258"/>
      <x:c r="E54" s="258"/>
      <x:c r="F54" s="258"/>
      <x:c r="G54" s="258"/>
      <x:c r="H54" s="258"/>
      <x:c r="I54" s="258"/>
      <x:c r="J54" s="258"/>
      <x:c r="K54" s="258"/>
      <x:c r="L54" s="258"/>
      <x:c r="M54" s="258"/>
      <x:c r="N54" s="258"/>
      <x:c r="O54" s="258"/>
      <x:c r="P54" s="258"/>
      <x:c r="Q54" s="258"/>
      <x:c r="R54" s="258"/>
      <x:c r="S54" s="258"/>
      <x:c r="T54" s="258"/>
      <x:c r="U54" s="258"/>
      <x:c r="V54" s="258"/>
      <x:c r="W54" s="258"/>
      <x:c r="X54" s="258"/>
      <x:c r="Y54" s="258"/>
      <x:c r="Z54" s="258"/>
    </x:row>
    <x:row r="55">
      <x:c r="A55" s="258"/>
      <x:c r="B55" s="258"/>
      <x:c r="C55" s="258"/>
      <x:c r="D55" s="258"/>
      <x:c r="E55" s="258"/>
      <x:c r="F55" s="258"/>
      <x:c r="G55" s="258"/>
      <x:c r="H55" s="258"/>
      <x:c r="I55" s="258"/>
      <x:c r="J55" s="258"/>
      <x:c r="K55" s="258"/>
      <x:c r="L55" s="258"/>
      <x:c r="M55" s="258"/>
      <x:c r="N55" s="258"/>
      <x:c r="O55" s="258"/>
      <x:c r="P55" s="258"/>
      <x:c r="Q55" s="258"/>
      <x:c r="R55" s="258"/>
      <x:c r="S55" s="258"/>
      <x:c r="T55" s="258"/>
      <x:c r="U55" s="258"/>
      <x:c r="V55" s="258"/>
      <x:c r="W55" s="258"/>
      <x:c r="X55" s="258"/>
      <x:c r="Y55" s="258"/>
      <x:c r="Z55" s="258"/>
    </x:row>
    <x:row r="56">
      <x:c r="A56" s="258"/>
      <x:c r="B56" s="258"/>
      <x:c r="C56" s="258"/>
      <x:c r="D56" s="258"/>
      <x:c r="E56" s="258"/>
      <x:c r="F56" s="258"/>
      <x:c r="G56" s="258"/>
      <x:c r="H56" s="258"/>
      <x:c r="I56" s="258"/>
      <x:c r="J56" s="258"/>
      <x:c r="K56" s="258"/>
      <x:c r="L56" s="258"/>
      <x:c r="M56" s="258"/>
      <x:c r="N56" s="258"/>
      <x:c r="O56" s="258"/>
      <x:c r="P56" s="258"/>
      <x:c r="Q56" s="258"/>
      <x:c r="R56" s="258"/>
      <x:c r="S56" s="258"/>
      <x:c r="T56" s="258"/>
      <x:c r="U56" s="258"/>
      <x:c r="V56" s="258"/>
      <x:c r="W56" s="258"/>
      <x:c r="X56" s="258"/>
      <x:c r="Y56" s="258"/>
      <x:c r="Z56" s="258"/>
    </x:row>
    <x:row r="57">
      <x:c r="A57" s="258"/>
      <x:c r="B57" s="258"/>
      <x:c r="C57" s="258"/>
      <x:c r="D57" s="258"/>
      <x:c r="E57" s="258"/>
      <x:c r="F57" s="258"/>
      <x:c r="G57" s="258"/>
      <x:c r="H57" s="258"/>
      <x:c r="I57" s="258"/>
      <x:c r="J57" s="258"/>
      <x:c r="K57" s="258"/>
      <x:c r="L57" s="258"/>
      <x:c r="M57" s="258"/>
      <x:c r="N57" s="258"/>
      <x:c r="O57" s="258"/>
      <x:c r="P57" s="258"/>
      <x:c r="Q57" s="258"/>
      <x:c r="R57" s="258"/>
      <x:c r="S57" s="258"/>
      <x:c r="T57" s="258"/>
      <x:c r="U57" s="258"/>
      <x:c r="V57" s="258"/>
      <x:c r="W57" s="258"/>
      <x:c r="X57" s="258"/>
      <x:c r="Y57" s="258"/>
      <x:c r="Z57" s="258"/>
    </x:row>
    <x:row r="58">
      <x:c r="A58" s="258"/>
      <x:c r="B58" s="258"/>
      <x:c r="C58" s="258"/>
      <x:c r="D58" s="258"/>
      <x:c r="E58" s="258"/>
      <x:c r="F58" s="258"/>
      <x:c r="G58" s="258"/>
      <x:c r="H58" s="258"/>
      <x:c r="I58" s="258"/>
      <x:c r="J58" s="258"/>
      <x:c r="K58" s="258"/>
      <x:c r="L58" s="258"/>
      <x:c r="M58" s="258"/>
      <x:c r="N58" s="258"/>
      <x:c r="O58" s="258"/>
      <x:c r="P58" s="258"/>
      <x:c r="Q58" s="258"/>
      <x:c r="R58" s="258"/>
      <x:c r="S58" s="258"/>
      <x:c r="T58" s="258"/>
      <x:c r="U58" s="258"/>
      <x:c r="V58" s="258"/>
      <x:c r="W58" s="258"/>
      <x:c r="X58" s="258"/>
      <x:c r="Y58" s="258"/>
      <x:c r="Z58" s="258"/>
    </x:row>
    <x:row r="59">
      <x:c r="A59" s="258"/>
      <x:c r="B59" s="258"/>
      <x:c r="C59" s="258"/>
      <x:c r="D59" s="258"/>
      <x:c r="E59" s="258"/>
      <x:c r="F59" s="258"/>
      <x:c r="G59" s="258"/>
      <x:c r="H59" s="258"/>
      <x:c r="I59" s="258"/>
      <x:c r="J59" s="258"/>
      <x:c r="K59" s="258"/>
      <x:c r="L59" s="258"/>
      <x:c r="M59" s="258"/>
      <x:c r="N59" s="258"/>
      <x:c r="O59" s="258"/>
      <x:c r="P59" s="258"/>
      <x:c r="Q59" s="258"/>
      <x:c r="R59" s="258"/>
      <x:c r="S59" s="258"/>
      <x:c r="T59" s="258"/>
      <x:c r="U59" s="258"/>
      <x:c r="V59" s="258"/>
      <x:c r="W59" s="258"/>
      <x:c r="X59" s="258"/>
      <x:c r="Y59" s="258"/>
      <x:c r="Z59" s="258"/>
    </x:row>
    <x:row r="60">
      <x:c r="A60" s="258"/>
      <x:c r="B60" s="258"/>
      <x:c r="C60" s="258"/>
      <x:c r="D60" s="258"/>
      <x:c r="E60" s="258"/>
      <x:c r="F60" s="258"/>
      <x:c r="G60" s="258"/>
      <x:c r="H60" s="258"/>
      <x:c r="I60" s="258"/>
      <x:c r="J60" s="258"/>
      <x:c r="K60" s="258"/>
      <x:c r="L60" s="258"/>
      <x:c r="M60" s="258"/>
      <x:c r="N60" s="258"/>
      <x:c r="O60" s="258"/>
      <x:c r="P60" s="258"/>
      <x:c r="Q60" s="258"/>
      <x:c r="R60" s="258"/>
      <x:c r="S60" s="258"/>
      <x:c r="T60" s="258"/>
      <x:c r="U60" s="258"/>
      <x:c r="V60" s="258"/>
      <x:c r="W60" s="258"/>
      <x:c r="X60" s="258"/>
      <x:c r="Y60" s="258"/>
      <x:c r="Z60" s="258"/>
    </x:row>
    <x:row r="61">
      <x:c r="A61" s="258"/>
      <x:c r="B61" s="258"/>
      <x:c r="C61" s="258"/>
      <x:c r="D61" s="258"/>
      <x:c r="E61" s="258"/>
      <x:c r="F61" s="258"/>
      <x:c r="G61" s="258"/>
      <x:c r="H61" s="258"/>
      <x:c r="I61" s="258"/>
      <x:c r="J61" s="258"/>
      <x:c r="K61" s="258"/>
      <x:c r="L61" s="258"/>
      <x:c r="M61" s="258"/>
      <x:c r="N61" s="258"/>
      <x:c r="O61" s="258"/>
      <x:c r="P61" s="258"/>
      <x:c r="Q61" s="258"/>
      <x:c r="R61" s="258"/>
      <x:c r="S61" s="258"/>
      <x:c r="T61" s="258"/>
      <x:c r="U61" s="258"/>
      <x:c r="V61" s="258"/>
      <x:c r="W61" s="258"/>
      <x:c r="X61" s="258"/>
      <x:c r="Y61" s="258"/>
      <x:c r="Z61" s="258"/>
    </x:row>
    <x:row r="62">
      <x:c r="A62" s="258"/>
      <x:c r="B62" s="258"/>
      <x:c r="C62" s="258"/>
      <x:c r="D62" s="258"/>
      <x:c r="E62" s="258"/>
      <x:c r="F62" s="258"/>
      <x:c r="G62" s="258"/>
      <x:c r="H62" s="258"/>
      <x:c r="I62" s="258"/>
      <x:c r="J62" s="258"/>
      <x:c r="K62" s="258"/>
      <x:c r="L62" s="258"/>
      <x:c r="M62" s="258"/>
      <x:c r="N62" s="258"/>
      <x:c r="O62" s="258"/>
      <x:c r="P62" s="258"/>
      <x:c r="Q62" s="258"/>
      <x:c r="R62" s="258"/>
      <x:c r="S62" s="258"/>
      <x:c r="T62" s="258"/>
      <x:c r="U62" s="258"/>
      <x:c r="V62" s="258"/>
      <x:c r="W62" s="258"/>
      <x:c r="X62" s="258"/>
      <x:c r="Y62" s="258"/>
      <x:c r="Z62" s="258"/>
    </x:row>
    <x:row r="63">
      <x:c r="A63" s="258"/>
      <x:c r="B63" s="258"/>
      <x:c r="C63" s="258"/>
      <x:c r="D63" s="258"/>
      <x:c r="E63" s="258"/>
      <x:c r="F63" s="258"/>
      <x:c r="G63" s="258"/>
      <x:c r="H63" s="258"/>
      <x:c r="I63" s="258"/>
      <x:c r="J63" s="258"/>
      <x:c r="K63" s="258"/>
      <x:c r="L63" s="258"/>
      <x:c r="M63" s="258"/>
      <x:c r="N63" s="258"/>
      <x:c r="O63" s="258"/>
      <x:c r="P63" s="258"/>
      <x:c r="Q63" s="258"/>
      <x:c r="R63" s="258"/>
      <x:c r="S63" s="258"/>
      <x:c r="T63" s="258"/>
      <x:c r="U63" s="258"/>
      <x:c r="V63" s="258"/>
      <x:c r="W63" s="258"/>
      <x:c r="X63" s="258"/>
      <x:c r="Y63" s="258"/>
      <x:c r="Z63" s="258"/>
    </x:row>
    <x:row r="64">
      <x:c r="A64" s="258"/>
      <x:c r="B64" s="258"/>
      <x:c r="C64" s="258"/>
      <x:c r="D64" s="258"/>
      <x:c r="E64" s="258"/>
      <x:c r="F64" s="258"/>
      <x:c r="G64" s="258"/>
      <x:c r="H64" s="258"/>
      <x:c r="I64" s="258"/>
      <x:c r="J64" s="258"/>
      <x:c r="K64" s="258"/>
      <x:c r="L64" s="258"/>
      <x:c r="M64" s="258"/>
      <x:c r="N64" s="258"/>
      <x:c r="O64" s="258"/>
      <x:c r="P64" s="258"/>
      <x:c r="Q64" s="258"/>
      <x:c r="R64" s="258"/>
      <x:c r="S64" s="258"/>
      <x:c r="T64" s="258"/>
      <x:c r="U64" s="258"/>
      <x:c r="V64" s="258"/>
      <x:c r="W64" s="258"/>
      <x:c r="X64" s="258"/>
      <x:c r="Y64" s="258"/>
      <x:c r="Z64" s="258"/>
    </x:row>
    <x:row r="65">
      <x:c r="A65" s="258"/>
      <x:c r="B65" s="258"/>
      <x:c r="C65" s="258"/>
      <x:c r="D65" s="258"/>
      <x:c r="E65" s="258"/>
      <x:c r="F65" s="258"/>
      <x:c r="G65" s="258"/>
      <x:c r="H65" s="258"/>
      <x:c r="I65" s="258"/>
      <x:c r="J65" s="258"/>
      <x:c r="K65" s="258"/>
      <x:c r="L65" s="258"/>
      <x:c r="M65" s="258"/>
      <x:c r="N65" s="258"/>
      <x:c r="O65" s="258"/>
      <x:c r="P65" s="258"/>
      <x:c r="Q65" s="258"/>
      <x:c r="R65" s="258"/>
      <x:c r="S65" s="258"/>
      <x:c r="T65" s="258"/>
      <x:c r="U65" s="258"/>
      <x:c r="V65" s="258"/>
      <x:c r="W65" s="258"/>
      <x:c r="X65" s="258"/>
      <x:c r="Y65" s="258"/>
      <x:c r="Z65" s="258"/>
    </x:row>
    <x:row r="66">
      <x:c r="A66" s="258"/>
      <x:c r="B66" s="258"/>
      <x:c r="C66" s="258"/>
      <x:c r="D66" s="258"/>
      <x:c r="E66" s="258"/>
      <x:c r="F66" s="258"/>
      <x:c r="G66" s="258"/>
      <x:c r="H66" s="258"/>
      <x:c r="I66" s="258"/>
      <x:c r="J66" s="258"/>
      <x:c r="K66" s="258"/>
      <x:c r="L66" s="258"/>
      <x:c r="M66" s="258"/>
      <x:c r="N66" s="258"/>
      <x:c r="O66" s="258"/>
      <x:c r="P66" s="258"/>
      <x:c r="Q66" s="258"/>
      <x:c r="R66" s="258"/>
      <x:c r="S66" s="258"/>
      <x:c r="T66" s="258"/>
      <x:c r="U66" s="258"/>
      <x:c r="V66" s="258"/>
      <x:c r="W66" s="258"/>
      <x:c r="X66" s="258"/>
      <x:c r="Y66" s="258"/>
      <x:c r="Z66" s="258"/>
    </x:row>
    <x:row r="67">
      <x:c r="A67" s="258"/>
      <x:c r="B67" s="258"/>
      <x:c r="C67" s="258"/>
      <x:c r="D67" s="258"/>
      <x:c r="E67" s="258"/>
      <x:c r="F67" s="258"/>
      <x:c r="G67" s="258"/>
      <x:c r="H67" s="258"/>
      <x:c r="I67" s="258"/>
      <x:c r="J67" s="258"/>
      <x:c r="K67" s="258"/>
      <x:c r="L67" s="258"/>
      <x:c r="M67" s="258"/>
      <x:c r="N67" s="258"/>
      <x:c r="O67" s="258"/>
      <x:c r="P67" s="258"/>
      <x:c r="Q67" s="258"/>
      <x:c r="R67" s="258"/>
      <x:c r="S67" s="258"/>
      <x:c r="T67" s="258"/>
      <x:c r="U67" s="258"/>
      <x:c r="V67" s="258"/>
      <x:c r="W67" s="258"/>
      <x:c r="X67" s="258"/>
      <x:c r="Y67" s="258"/>
      <x:c r="Z67" s="258"/>
    </x:row>
    <x:row r="68">
      <x:c r="A68" s="258"/>
      <x:c r="B68" s="258"/>
      <x:c r="C68" s="258"/>
      <x:c r="D68" s="258"/>
      <x:c r="E68" s="258"/>
      <x:c r="F68" s="258"/>
      <x:c r="G68" s="258"/>
      <x:c r="H68" s="258"/>
      <x:c r="I68" s="258"/>
      <x:c r="J68" s="258"/>
      <x:c r="K68" s="258"/>
      <x:c r="L68" s="258"/>
      <x:c r="M68" s="258"/>
      <x:c r="N68" s="258"/>
      <x:c r="O68" s="258"/>
      <x:c r="P68" s="258"/>
      <x:c r="Q68" s="258"/>
      <x:c r="R68" s="258"/>
      <x:c r="S68" s="258"/>
      <x:c r="T68" s="258"/>
      <x:c r="U68" s="258"/>
      <x:c r="V68" s="258"/>
      <x:c r="W68" s="258"/>
      <x:c r="X68" s="258"/>
      <x:c r="Y68" s="258"/>
      <x:c r="Z68" s="258"/>
    </x:row>
    <x:row r="69">
      <x:c r="A69" s="258"/>
      <x:c r="B69" s="258"/>
      <x:c r="C69" s="258"/>
      <x:c r="D69" s="258"/>
      <x:c r="E69" s="258"/>
      <x:c r="F69" s="258"/>
      <x:c r="G69" s="258"/>
      <x:c r="H69" s="258"/>
      <x:c r="I69" s="258"/>
      <x:c r="J69" s="258"/>
      <x:c r="K69" s="258"/>
      <x:c r="L69" s="258"/>
      <x:c r="M69" s="258"/>
      <x:c r="N69" s="258"/>
      <x:c r="O69" s="258"/>
      <x:c r="P69" s="258"/>
      <x:c r="Q69" s="258"/>
      <x:c r="R69" s="258"/>
      <x:c r="S69" s="258"/>
      <x:c r="T69" s="258"/>
      <x:c r="U69" s="258"/>
      <x:c r="V69" s="258"/>
      <x:c r="W69" s="258"/>
      <x:c r="X69" s="258"/>
      <x:c r="Y69" s="258"/>
      <x:c r="Z69" s="258"/>
    </x:row>
    <x:row r="70">
      <x:c r="A70" s="258"/>
      <x:c r="B70" s="258"/>
      <x:c r="C70" s="258"/>
      <x:c r="D70" s="258"/>
      <x:c r="E70" s="258"/>
      <x:c r="F70" s="258"/>
      <x:c r="G70" s="258"/>
      <x:c r="H70" s="258"/>
      <x:c r="I70" s="258"/>
      <x:c r="J70" s="258"/>
      <x:c r="K70" s="258"/>
      <x:c r="L70" s="258"/>
      <x:c r="M70" s="258"/>
      <x:c r="N70" s="258"/>
      <x:c r="O70" s="258"/>
      <x:c r="P70" s="258"/>
      <x:c r="Q70" s="258"/>
      <x:c r="R70" s="258"/>
      <x:c r="S70" s="258"/>
      <x:c r="T70" s="258"/>
      <x:c r="U70" s="258"/>
      <x:c r="V70" s="258"/>
      <x:c r="W70" s="258"/>
      <x:c r="X70" s="258"/>
      <x:c r="Y70" s="258"/>
      <x:c r="Z70" s="258"/>
    </x:row>
    <x:row r="71">
      <x:c r="A71" s="258"/>
      <x:c r="B71" s="258"/>
      <x:c r="C71" s="258"/>
      <x:c r="D71" s="258"/>
      <x:c r="E71" s="258"/>
      <x:c r="F71" s="258"/>
      <x:c r="G71" s="258"/>
      <x:c r="H71" s="258"/>
      <x:c r="I71" s="258"/>
      <x:c r="J71" s="258"/>
      <x:c r="K71" s="258"/>
      <x:c r="L71" s="258"/>
      <x:c r="M71" s="258"/>
      <x:c r="N71" s="258"/>
      <x:c r="O71" s="258"/>
      <x:c r="P71" s="258"/>
      <x:c r="Q71" s="258"/>
      <x:c r="R71" s="258"/>
      <x:c r="S71" s="258"/>
      <x:c r="T71" s="258"/>
      <x:c r="U71" s="258"/>
      <x:c r="V71" s="258"/>
      <x:c r="W71" s="258"/>
      <x:c r="X71" s="258"/>
      <x:c r="Y71" s="258"/>
      <x:c r="Z71" s="258"/>
    </x:row>
    <x:row r="72">
      <x:c r="A72" s="258"/>
      <x:c r="B72" s="258"/>
      <x:c r="C72" s="258"/>
      <x:c r="D72" s="258"/>
      <x:c r="E72" s="258"/>
      <x:c r="F72" s="258"/>
      <x:c r="G72" s="258"/>
      <x:c r="H72" s="258"/>
      <x:c r="I72" s="258"/>
      <x:c r="J72" s="258"/>
      <x:c r="K72" s="258"/>
      <x:c r="L72" s="258"/>
      <x:c r="M72" s="258"/>
      <x:c r="N72" s="258"/>
      <x:c r="O72" s="258"/>
      <x:c r="P72" s="258"/>
      <x:c r="Q72" s="258"/>
      <x:c r="R72" s="258"/>
      <x:c r="S72" s="258"/>
      <x:c r="T72" s="258"/>
      <x:c r="U72" s="258"/>
      <x:c r="V72" s="258"/>
      <x:c r="W72" s="258"/>
      <x:c r="X72" s="258"/>
      <x:c r="Y72" s="258"/>
      <x:c r="Z72" s="258"/>
    </x:row>
    <x:row r="73">
      <x:c r="A73" s="258"/>
      <x:c r="B73" s="258"/>
      <x:c r="C73" s="258"/>
      <x:c r="D73" s="258"/>
      <x:c r="E73" s="258"/>
      <x:c r="F73" s="258"/>
      <x:c r="G73" s="258"/>
      <x:c r="H73" s="258"/>
      <x:c r="I73" s="258"/>
      <x:c r="J73" s="258"/>
      <x:c r="K73" s="258"/>
      <x:c r="L73" s="258"/>
      <x:c r="M73" s="258"/>
      <x:c r="N73" s="258"/>
      <x:c r="O73" s="258"/>
      <x:c r="P73" s="258"/>
      <x:c r="Q73" s="258"/>
      <x:c r="R73" s="258"/>
      <x:c r="S73" s="258"/>
      <x:c r="T73" s="258"/>
      <x:c r="U73" s="258"/>
      <x:c r="V73" s="258"/>
      <x:c r="W73" s="258"/>
      <x:c r="X73" s="258"/>
      <x:c r="Y73" s="258"/>
      <x:c r="Z73" s="258"/>
    </x:row>
    <x:row r="74">
      <x:c r="A74" s="258"/>
      <x:c r="B74" s="258"/>
      <x:c r="C74" s="258"/>
      <x:c r="D74" s="258"/>
      <x:c r="E74" s="258"/>
      <x:c r="F74" s="258"/>
      <x:c r="G74" s="258"/>
      <x:c r="H74" s="258"/>
      <x:c r="I74" s="258"/>
      <x:c r="J74" s="258"/>
      <x:c r="K74" s="258"/>
      <x:c r="L74" s="258"/>
      <x:c r="M74" s="258"/>
      <x:c r="N74" s="258"/>
      <x:c r="O74" s="258"/>
      <x:c r="P74" s="258"/>
      <x:c r="Q74" s="258"/>
      <x:c r="R74" s="258"/>
      <x:c r="S74" s="258"/>
      <x:c r="T74" s="258"/>
      <x:c r="U74" s="258"/>
      <x:c r="V74" s="258"/>
      <x:c r="W74" s="258"/>
      <x:c r="X74" s="258"/>
      <x:c r="Y74" s="258"/>
      <x:c r="Z74" s="258"/>
    </x:row>
    <x:row r="75">
      <x:c r="A75" s="258"/>
      <x:c r="B75" s="258"/>
      <x:c r="C75" s="258"/>
      <x:c r="D75" s="258"/>
      <x:c r="E75" s="258"/>
      <x:c r="F75" s="258"/>
      <x:c r="G75" s="258"/>
      <x:c r="H75" s="258"/>
      <x:c r="I75" s="258"/>
      <x:c r="J75" s="258"/>
      <x:c r="K75" s="258"/>
      <x:c r="L75" s="258"/>
      <x:c r="M75" s="258"/>
      <x:c r="N75" s="258"/>
      <x:c r="O75" s="258"/>
      <x:c r="P75" s="258"/>
      <x:c r="Q75" s="258"/>
      <x:c r="R75" s="258"/>
      <x:c r="S75" s="258"/>
      <x:c r="T75" s="258"/>
      <x:c r="U75" s="258"/>
      <x:c r="V75" s="258"/>
      <x:c r="W75" s="258"/>
      <x:c r="X75" s="258"/>
      <x:c r="Y75" s="258"/>
      <x:c r="Z75" s="258"/>
    </x:row>
    <x:row r="76">
      <x:c r="A76" s="258"/>
      <x:c r="B76" s="258"/>
      <x:c r="C76" s="258"/>
      <x:c r="D76" s="258"/>
      <x:c r="E76" s="258"/>
      <x:c r="F76" s="258"/>
      <x:c r="G76" s="258"/>
      <x:c r="H76" s="258"/>
      <x:c r="I76" s="258"/>
      <x:c r="J76" s="258"/>
      <x:c r="K76" s="258"/>
      <x:c r="L76" s="258"/>
      <x:c r="M76" s="258"/>
      <x:c r="N76" s="258"/>
      <x:c r="O76" s="258"/>
      <x:c r="P76" s="258"/>
      <x:c r="Q76" s="258"/>
      <x:c r="R76" s="258"/>
      <x:c r="S76" s="258"/>
      <x:c r="T76" s="258"/>
      <x:c r="U76" s="258"/>
      <x:c r="V76" s="258"/>
      <x:c r="W76" s="258"/>
      <x:c r="X76" s="258"/>
      <x:c r="Y76" s="258"/>
      <x:c r="Z76" s="258"/>
    </x:row>
    <x:row r="77">
      <x:c r="A77" s="258"/>
      <x:c r="B77" s="258"/>
      <x:c r="C77" s="258"/>
      <x:c r="D77" s="258"/>
      <x:c r="E77" s="258"/>
      <x:c r="F77" s="258"/>
      <x:c r="G77" s="258"/>
      <x:c r="H77" s="258"/>
      <x:c r="I77" s="258"/>
      <x:c r="J77" s="258"/>
      <x:c r="K77" s="258"/>
      <x:c r="L77" s="258"/>
      <x:c r="M77" s="258"/>
      <x:c r="N77" s="258"/>
      <x:c r="O77" s="258"/>
      <x:c r="P77" s="258"/>
      <x:c r="Q77" s="258"/>
      <x:c r="R77" s="258"/>
      <x:c r="S77" s="258"/>
      <x:c r="T77" s="258"/>
      <x:c r="U77" s="258"/>
      <x:c r="V77" s="258"/>
      <x:c r="W77" s="258"/>
      <x:c r="X77" s="258"/>
      <x:c r="Y77" s="258"/>
      <x:c r="Z77" s="258"/>
    </x:row>
    <x:row r="78">
      <x:c r="A78" s="258"/>
      <x:c r="B78" s="258"/>
      <x:c r="C78" s="258"/>
      <x:c r="D78" s="258"/>
      <x:c r="E78" s="258"/>
      <x:c r="F78" s="258"/>
      <x:c r="G78" s="258"/>
      <x:c r="H78" s="258"/>
      <x:c r="I78" s="258"/>
      <x:c r="J78" s="258"/>
      <x:c r="K78" s="258"/>
      <x:c r="L78" s="258"/>
      <x:c r="M78" s="258"/>
      <x:c r="N78" s="258"/>
      <x:c r="O78" s="258"/>
      <x:c r="P78" s="258"/>
      <x:c r="Q78" s="258"/>
      <x:c r="R78" s="258"/>
      <x:c r="S78" s="258"/>
      <x:c r="T78" s="258"/>
      <x:c r="U78" s="258"/>
      <x:c r="V78" s="258"/>
      <x:c r="W78" s="258"/>
      <x:c r="X78" s="258"/>
      <x:c r="Y78" s="258"/>
      <x:c r="Z78" s="258"/>
    </x:row>
    <x:row r="79">
      <x:c r="A79" s="258"/>
      <x:c r="B79" s="258"/>
      <x:c r="C79" s="258"/>
      <x:c r="D79" s="258"/>
      <x:c r="E79" s="258"/>
      <x:c r="F79" s="258"/>
      <x:c r="G79" s="258"/>
      <x:c r="H79" s="258"/>
      <x:c r="I79" s="258"/>
      <x:c r="J79" s="258"/>
      <x:c r="K79" s="258"/>
      <x:c r="L79" s="258"/>
      <x:c r="M79" s="258"/>
      <x:c r="N79" s="258"/>
      <x:c r="O79" s="258"/>
      <x:c r="P79" s="258"/>
      <x:c r="Q79" s="258"/>
      <x:c r="R79" s="258"/>
      <x:c r="S79" s="258"/>
      <x:c r="T79" s="258"/>
      <x:c r="U79" s="258"/>
      <x:c r="V79" s="258"/>
      <x:c r="W79" s="258"/>
      <x:c r="X79" s="258"/>
      <x:c r="Y79" s="258"/>
      <x:c r="Z79" s="258"/>
    </x:row>
    <x:row r="80">
      <x:c r="A80" s="258"/>
      <x:c r="B80" s="258"/>
      <x:c r="C80" s="258"/>
      <x:c r="D80" s="258"/>
      <x:c r="E80" s="258"/>
      <x:c r="F80" s="258"/>
      <x:c r="G80" s="258"/>
      <x:c r="H80" s="258"/>
      <x:c r="I80" s="258"/>
      <x:c r="J80" s="258"/>
      <x:c r="K80" s="258"/>
      <x:c r="L80" s="258"/>
      <x:c r="M80" s="258"/>
      <x:c r="N80" s="258"/>
      <x:c r="O80" s="258"/>
      <x:c r="P80" s="258"/>
      <x:c r="Q80" s="258"/>
      <x:c r="R80" s="258"/>
      <x:c r="S80" s="258"/>
      <x:c r="T80" s="258"/>
      <x:c r="U80" s="258"/>
      <x:c r="V80" s="258"/>
      <x:c r="W80" s="258"/>
      <x:c r="X80" s="258"/>
      <x:c r="Y80" s="258"/>
      <x:c r="Z80" s="258"/>
    </x:row>
    <x:row r="81">
      <x:c r="A81" s="258"/>
      <x:c r="B81" s="258"/>
      <x:c r="C81" s="258"/>
      <x:c r="D81" s="258"/>
      <x:c r="E81" s="258"/>
      <x:c r="F81" s="258"/>
      <x:c r="G81" s="258"/>
      <x:c r="H81" s="258"/>
      <x:c r="I81" s="258"/>
      <x:c r="J81" s="258"/>
      <x:c r="K81" s="258"/>
      <x:c r="L81" s="258"/>
      <x:c r="M81" s="258"/>
      <x:c r="N81" s="258"/>
      <x:c r="O81" s="258"/>
      <x:c r="P81" s="258"/>
      <x:c r="Q81" s="258"/>
      <x:c r="R81" s="258"/>
      <x:c r="S81" s="258"/>
      <x:c r="T81" s="258"/>
      <x:c r="U81" s="258"/>
      <x:c r="V81" s="258"/>
      <x:c r="W81" s="258"/>
      <x:c r="X81" s="258"/>
      <x:c r="Y81" s="258"/>
      <x:c r="Z81" s="258"/>
    </x:row>
    <x:row r="82">
      <x:c r="A82" s="258"/>
      <x:c r="B82" s="258"/>
      <x:c r="C82" s="258"/>
      <x:c r="D82" s="258"/>
      <x:c r="E82" s="258"/>
      <x:c r="F82" s="258"/>
      <x:c r="G82" s="258"/>
      <x:c r="H82" s="258"/>
      <x:c r="I82" s="258"/>
      <x:c r="J82" s="258"/>
      <x:c r="K82" s="258"/>
      <x:c r="L82" s="258"/>
      <x:c r="M82" s="258"/>
      <x:c r="N82" s="258"/>
      <x:c r="O82" s="258"/>
      <x:c r="P82" s="258"/>
      <x:c r="Q82" s="258"/>
      <x:c r="R82" s="258"/>
      <x:c r="S82" s="258"/>
      <x:c r="T82" s="258"/>
      <x:c r="U82" s="258"/>
      <x:c r="V82" s="258"/>
      <x:c r="W82" s="258"/>
      <x:c r="X82" s="258"/>
      <x:c r="Y82" s="258"/>
      <x:c r="Z82" s="258"/>
    </x:row>
    <x:row r="83">
      <x:c r="A83" s="258"/>
      <x:c r="B83" s="258"/>
      <x:c r="C83" s="258"/>
      <x:c r="D83" s="258"/>
      <x:c r="E83" s="258"/>
      <x:c r="F83" s="258"/>
      <x:c r="G83" s="258"/>
      <x:c r="H83" s="258"/>
      <x:c r="I83" s="258"/>
      <x:c r="J83" s="258"/>
      <x:c r="K83" s="258"/>
      <x:c r="L83" s="258"/>
      <x:c r="M83" s="258"/>
      <x:c r="N83" s="258"/>
      <x:c r="O83" s="258"/>
      <x:c r="P83" s="258"/>
      <x:c r="Q83" s="258"/>
      <x:c r="R83" s="258"/>
      <x:c r="S83" s="258"/>
      <x:c r="T83" s="258"/>
      <x:c r="U83" s="258"/>
      <x:c r="V83" s="258"/>
      <x:c r="W83" s="258"/>
      <x:c r="X83" s="258"/>
      <x:c r="Y83" s="258"/>
      <x:c r="Z83" s="258"/>
    </x:row>
    <x:row r="84">
      <x:c r="A84" s="258"/>
      <x:c r="B84" s="258"/>
      <x:c r="C84" s="258"/>
      <x:c r="D84" s="258"/>
      <x:c r="E84" s="258"/>
      <x:c r="F84" s="258"/>
      <x:c r="G84" s="258"/>
      <x:c r="H84" s="258"/>
      <x:c r="I84" s="258"/>
      <x:c r="J84" s="258"/>
      <x:c r="K84" s="258"/>
      <x:c r="L84" s="258"/>
      <x:c r="M84" s="258"/>
      <x:c r="N84" s="258"/>
      <x:c r="O84" s="258"/>
      <x:c r="P84" s="258"/>
      <x:c r="Q84" s="258"/>
      <x:c r="R84" s="258"/>
      <x:c r="S84" s="258"/>
      <x:c r="T84" s="258"/>
      <x:c r="U84" s="258"/>
      <x:c r="V84" s="258"/>
      <x:c r="W84" s="258"/>
      <x:c r="X84" s="258"/>
      <x:c r="Y84" s="258"/>
      <x:c r="Z84" s="258"/>
    </x:row>
    <x:row r="85">
      <x:c r="A85" s="258"/>
      <x:c r="B85" s="258"/>
      <x:c r="C85" s="258"/>
      <x:c r="D85" s="258"/>
      <x:c r="E85" s="258"/>
      <x:c r="F85" s="258"/>
      <x:c r="G85" s="258"/>
      <x:c r="H85" s="258"/>
      <x:c r="I85" s="258"/>
      <x:c r="J85" s="258"/>
      <x:c r="K85" s="258"/>
      <x:c r="L85" s="258"/>
      <x:c r="M85" s="258"/>
      <x:c r="N85" s="258"/>
      <x:c r="O85" s="258"/>
      <x:c r="P85" s="258"/>
      <x:c r="Q85" s="258"/>
      <x:c r="R85" s="258"/>
      <x:c r="S85" s="258"/>
      <x:c r="T85" s="258"/>
      <x:c r="U85" s="258"/>
      <x:c r="V85" s="258"/>
      <x:c r="W85" s="258"/>
      <x:c r="X85" s="258"/>
      <x:c r="Y85" s="258"/>
      <x:c r="Z85" s="258"/>
    </x:row>
    <x:row r="86">
      <x:c r="A86" s="258"/>
      <x:c r="B86" s="258"/>
      <x:c r="C86" s="258"/>
      <x:c r="D86" s="258"/>
      <x:c r="E86" s="258"/>
      <x:c r="F86" s="258"/>
      <x:c r="G86" s="258"/>
      <x:c r="H86" s="258"/>
      <x:c r="I86" s="258"/>
      <x:c r="J86" s="258"/>
      <x:c r="K86" s="258"/>
      <x:c r="L86" s="258"/>
      <x:c r="M86" s="258"/>
      <x:c r="N86" s="258"/>
      <x:c r="O86" s="258"/>
      <x:c r="P86" s="258"/>
      <x:c r="Q86" s="258"/>
      <x:c r="R86" s="258"/>
      <x:c r="S86" s="258"/>
      <x:c r="T86" s="258"/>
      <x:c r="U86" s="258"/>
      <x:c r="V86" s="258"/>
      <x:c r="W86" s="258"/>
      <x:c r="X86" s="258"/>
      <x:c r="Y86" s="258"/>
      <x:c r="Z86" s="258"/>
    </x:row>
    <x:row r="87">
      <x:c r="A87" s="258"/>
      <x:c r="B87" s="258"/>
      <x:c r="C87" s="258"/>
      <x:c r="D87" s="258"/>
      <x:c r="E87" s="258"/>
      <x:c r="F87" s="258"/>
      <x:c r="G87" s="258"/>
      <x:c r="H87" s="258"/>
      <x:c r="I87" s="258"/>
      <x:c r="J87" s="258"/>
      <x:c r="K87" s="258"/>
      <x:c r="L87" s="258"/>
      <x:c r="M87" s="258"/>
      <x:c r="N87" s="258"/>
      <x:c r="O87" s="258"/>
      <x:c r="P87" s="258"/>
      <x:c r="Q87" s="258"/>
      <x:c r="R87" s="258"/>
      <x:c r="S87" s="258"/>
      <x:c r="T87" s="258"/>
      <x:c r="U87" s="258"/>
      <x:c r="V87" s="258"/>
      <x:c r="W87" s="258"/>
      <x:c r="X87" s="258"/>
      <x:c r="Y87" s="258"/>
      <x:c r="Z87" s="258"/>
    </x:row>
    <x:row r="88">
      <x:c r="A88" s="258"/>
      <x:c r="B88" s="258"/>
      <x:c r="C88" s="258"/>
      <x:c r="D88" s="258"/>
      <x:c r="E88" s="258"/>
      <x:c r="F88" s="258"/>
      <x:c r="G88" s="258"/>
      <x:c r="H88" s="258"/>
      <x:c r="I88" s="258"/>
      <x:c r="J88" s="258"/>
      <x:c r="K88" s="258"/>
      <x:c r="L88" s="258"/>
      <x:c r="M88" s="258"/>
      <x:c r="N88" s="258"/>
      <x:c r="O88" s="258"/>
      <x:c r="P88" s="258"/>
      <x:c r="Q88" s="258"/>
      <x:c r="R88" s="258"/>
      <x:c r="S88" s="258"/>
      <x:c r="T88" s="258"/>
      <x:c r="U88" s="258"/>
      <x:c r="V88" s="258"/>
      <x:c r="W88" s="258"/>
      <x:c r="X88" s="258"/>
      <x:c r="Y88" s="258"/>
      <x:c r="Z88" s="258"/>
    </x:row>
    <x:row r="89">
      <x:c r="A89" s="258"/>
      <x:c r="B89" s="258"/>
      <x:c r="C89" s="258"/>
      <x:c r="D89" s="258"/>
      <x:c r="E89" s="258"/>
      <x:c r="F89" s="258"/>
      <x:c r="G89" s="258"/>
      <x:c r="H89" s="258"/>
      <x:c r="I89" s="258"/>
      <x:c r="J89" s="258"/>
      <x:c r="K89" s="258"/>
      <x:c r="L89" s="258"/>
      <x:c r="M89" s="258"/>
      <x:c r="N89" s="258"/>
      <x:c r="O89" s="258"/>
      <x:c r="P89" s="258"/>
      <x:c r="Q89" s="258"/>
      <x:c r="R89" s="258"/>
      <x:c r="S89" s="258"/>
      <x:c r="T89" s="258"/>
      <x:c r="U89" s="258"/>
      <x:c r="V89" s="258"/>
      <x:c r="W89" s="258"/>
      <x:c r="X89" s="258"/>
      <x:c r="Y89" s="258"/>
      <x:c r="Z89" s="258"/>
    </x:row>
    <x:row r="90">
      <x:c r="A90" s="258"/>
      <x:c r="B90" s="258"/>
      <x:c r="C90" s="258"/>
      <x:c r="D90" s="258"/>
      <x:c r="E90" s="258"/>
      <x:c r="F90" s="258"/>
      <x:c r="G90" s="258"/>
      <x:c r="H90" s="258"/>
      <x:c r="I90" s="258"/>
      <x:c r="J90" s="258"/>
      <x:c r="K90" s="258"/>
      <x:c r="L90" s="258"/>
      <x:c r="M90" s="258"/>
      <x:c r="N90" s="258"/>
      <x:c r="O90" s="258"/>
      <x:c r="P90" s="258"/>
      <x:c r="Q90" s="258"/>
      <x:c r="R90" s="258"/>
      <x:c r="S90" s="258"/>
      <x:c r="T90" s="258"/>
      <x:c r="U90" s="258"/>
      <x:c r="V90" s="258"/>
      <x:c r="W90" s="258"/>
      <x:c r="X90" s="258"/>
      <x:c r="Y90" s="258"/>
      <x:c r="Z90" s="258"/>
    </x:row>
    <x:row r="91">
      <x:c r="A91" s="258"/>
      <x:c r="B91" s="258"/>
      <x:c r="C91" s="258"/>
      <x:c r="D91" s="258"/>
      <x:c r="E91" s="258"/>
      <x:c r="F91" s="258"/>
      <x:c r="G91" s="258"/>
      <x:c r="H91" s="258"/>
      <x:c r="I91" s="258"/>
      <x:c r="J91" s="258"/>
      <x:c r="K91" s="258"/>
      <x:c r="L91" s="258"/>
      <x:c r="M91" s="258"/>
      <x:c r="N91" s="258"/>
      <x:c r="O91" s="258"/>
      <x:c r="P91" s="258"/>
      <x:c r="Q91" s="258"/>
      <x:c r="R91" s="258"/>
      <x:c r="S91" s="258"/>
      <x:c r="T91" s="258"/>
      <x:c r="U91" s="258"/>
      <x:c r="V91" s="258"/>
      <x:c r="W91" s="258"/>
      <x:c r="X91" s="258"/>
      <x:c r="Y91" s="258"/>
      <x:c r="Z91" s="258"/>
    </x:row>
    <x:row r="92">
      <x:c r="A92" s="258"/>
      <x:c r="B92" s="258"/>
      <x:c r="C92" s="258"/>
      <x:c r="D92" s="258"/>
      <x:c r="E92" s="258"/>
      <x:c r="F92" s="258"/>
      <x:c r="G92" s="258"/>
      <x:c r="H92" s="258"/>
      <x:c r="I92" s="258"/>
      <x:c r="J92" s="258"/>
      <x:c r="K92" s="258"/>
      <x:c r="L92" s="258"/>
      <x:c r="M92" s="258"/>
      <x:c r="N92" s="258"/>
      <x:c r="O92" s="258"/>
      <x:c r="P92" s="258"/>
      <x:c r="Q92" s="258"/>
      <x:c r="R92" s="258"/>
      <x:c r="S92" s="258"/>
      <x:c r="T92" s="258"/>
      <x:c r="U92" s="258"/>
      <x:c r="V92" s="258"/>
      <x:c r="W92" s="258"/>
      <x:c r="X92" s="258"/>
      <x:c r="Y92" s="258"/>
      <x:c r="Z92" s="258"/>
    </x:row>
    <x:row r="93">
      <x:c r="A93" s="258"/>
      <x:c r="B93" s="258"/>
      <x:c r="C93" s="258"/>
      <x:c r="D93" s="258"/>
      <x:c r="E93" s="258"/>
      <x:c r="F93" s="258"/>
      <x:c r="G93" s="258"/>
      <x:c r="H93" s="258"/>
      <x:c r="I93" s="258"/>
      <x:c r="J93" s="258"/>
      <x:c r="K93" s="258"/>
      <x:c r="L93" s="258"/>
      <x:c r="M93" s="258"/>
      <x:c r="N93" s="258"/>
      <x:c r="O93" s="258"/>
      <x:c r="P93" s="258"/>
      <x:c r="Q93" s="258"/>
      <x:c r="R93" s="258"/>
      <x:c r="S93" s="258"/>
      <x:c r="T93" s="258"/>
      <x:c r="U93" s="258"/>
      <x:c r="V93" s="258"/>
      <x:c r="W93" s="258"/>
      <x:c r="X93" s="258"/>
      <x:c r="Y93" s="258"/>
      <x:c r="Z93" s="258"/>
    </x:row>
    <x:row r="94">
      <x:c r="A94" s="258"/>
      <x:c r="B94" s="258"/>
      <x:c r="C94" s="258"/>
      <x:c r="D94" s="258"/>
      <x:c r="E94" s="258"/>
      <x:c r="F94" s="258"/>
      <x:c r="G94" s="258"/>
      <x:c r="H94" s="258"/>
      <x:c r="I94" s="258"/>
      <x:c r="J94" s="258"/>
      <x:c r="K94" s="258"/>
      <x:c r="L94" s="258"/>
      <x:c r="M94" s="258"/>
      <x:c r="N94" s="258"/>
      <x:c r="O94" s="258"/>
      <x:c r="P94" s="258"/>
      <x:c r="Q94" s="258"/>
      <x:c r="R94" s="258"/>
      <x:c r="S94" s="258"/>
      <x:c r="T94" s="258"/>
      <x:c r="U94" s="258"/>
      <x:c r="V94" s="258"/>
      <x:c r="W94" s="258"/>
      <x:c r="X94" s="258"/>
      <x:c r="Y94" s="258"/>
      <x:c r="Z94" s="258"/>
    </x:row>
    <x:row r="95">
      <x:c r="A95" s="258"/>
      <x:c r="B95" s="258"/>
      <x:c r="C95" s="258"/>
      <x:c r="D95" s="258"/>
      <x:c r="E95" s="258"/>
      <x:c r="F95" s="258"/>
      <x:c r="G95" s="258"/>
      <x:c r="H95" s="258"/>
      <x:c r="I95" s="258"/>
      <x:c r="J95" s="258"/>
      <x:c r="K95" s="258"/>
      <x:c r="L95" s="258"/>
      <x:c r="M95" s="258"/>
      <x:c r="N95" s="258"/>
      <x:c r="O95" s="258"/>
      <x:c r="P95" s="258"/>
      <x:c r="Q95" s="258"/>
      <x:c r="R95" s="258"/>
      <x:c r="S95" s="258"/>
      <x:c r="T95" s="258"/>
      <x:c r="U95" s="258"/>
      <x:c r="V95" s="258"/>
      <x:c r="W95" s="258"/>
      <x:c r="X95" s="258"/>
      <x:c r="Y95" s="258"/>
      <x:c r="Z95" s="258"/>
    </x:row>
    <x:row r="96">
      <x:c r="A96" s="258"/>
      <x:c r="B96" s="258"/>
      <x:c r="C96" s="258"/>
      <x:c r="D96" s="258"/>
      <x:c r="E96" s="258"/>
      <x:c r="F96" s="258"/>
      <x:c r="G96" s="258"/>
      <x:c r="H96" s="258"/>
      <x:c r="I96" s="258"/>
      <x:c r="J96" s="258"/>
      <x:c r="K96" s="258"/>
      <x:c r="L96" s="258"/>
      <x:c r="M96" s="258"/>
      <x:c r="N96" s="258"/>
      <x:c r="O96" s="258"/>
      <x:c r="P96" s="258"/>
      <x:c r="Q96" s="258"/>
      <x:c r="R96" s="258"/>
      <x:c r="S96" s="258"/>
      <x:c r="T96" s="258"/>
      <x:c r="U96" s="258"/>
      <x:c r="V96" s="258"/>
      <x:c r="W96" s="258"/>
      <x:c r="X96" s="258"/>
      <x:c r="Y96" s="258"/>
      <x:c r="Z96" s="258"/>
    </x:row>
    <x:row r="97">
      <x:c r="A97" s="258"/>
      <x:c r="B97" s="258"/>
      <x:c r="C97" s="258"/>
      <x:c r="D97" s="258"/>
      <x:c r="E97" s="258"/>
      <x:c r="F97" s="258"/>
      <x:c r="G97" s="258"/>
      <x:c r="H97" s="258"/>
      <x:c r="I97" s="258"/>
      <x:c r="J97" s="258"/>
      <x:c r="K97" s="258"/>
      <x:c r="L97" s="258"/>
      <x:c r="M97" s="258"/>
      <x:c r="N97" s="258"/>
      <x:c r="O97" s="258"/>
      <x:c r="P97" s="258"/>
      <x:c r="Q97" s="258"/>
      <x:c r="R97" s="258"/>
      <x:c r="S97" s="258"/>
      <x:c r="T97" s="258"/>
      <x:c r="U97" s="258"/>
      <x:c r="V97" s="258"/>
      <x:c r="W97" s="258"/>
      <x:c r="X97" s="258"/>
      <x:c r="Y97" s="258"/>
      <x:c r="Z97" s="258"/>
    </x:row>
    <x:row r="98">
      <x:c r="A98" s="258"/>
      <x:c r="B98" s="258"/>
      <x:c r="C98" s="258"/>
      <x:c r="D98" s="258"/>
      <x:c r="E98" s="258"/>
      <x:c r="F98" s="258"/>
      <x:c r="G98" s="258"/>
      <x:c r="H98" s="258"/>
      <x:c r="I98" s="258"/>
      <x:c r="J98" s="258"/>
      <x:c r="K98" s="258"/>
      <x:c r="L98" s="258"/>
      <x:c r="M98" s="258"/>
      <x:c r="N98" s="258"/>
      <x:c r="O98" s="258"/>
      <x:c r="P98" s="258"/>
      <x:c r="Q98" s="258"/>
      <x:c r="R98" s="258"/>
      <x:c r="S98" s="258"/>
      <x:c r="T98" s="258"/>
      <x:c r="U98" s="258"/>
      <x:c r="V98" s="258"/>
      <x:c r="W98" s="258"/>
      <x:c r="X98" s="258"/>
      <x:c r="Y98" s="258"/>
      <x:c r="Z98" s="258"/>
    </x:row>
    <x:row r="99">
      <x:c r="A99" s="258"/>
      <x:c r="B99" s="258"/>
      <x:c r="C99" s="258"/>
      <x:c r="D99" s="258"/>
      <x:c r="E99" s="258"/>
      <x:c r="F99" s="258"/>
      <x:c r="G99" s="258"/>
      <x:c r="H99" s="258"/>
      <x:c r="I99" s="258"/>
      <x:c r="J99" s="258"/>
      <x:c r="K99" s="258"/>
      <x:c r="L99" s="258"/>
      <x:c r="M99" s="258"/>
      <x:c r="N99" s="258"/>
      <x:c r="O99" s="258"/>
      <x:c r="P99" s="258"/>
      <x:c r="Q99" s="258"/>
      <x:c r="R99" s="258"/>
      <x:c r="S99" s="258"/>
      <x:c r="T99" s="258"/>
      <x:c r="U99" s="258"/>
      <x:c r="V99" s="258"/>
      <x:c r="W99" s="258"/>
      <x:c r="X99" s="258"/>
      <x:c r="Y99" s="258"/>
      <x:c r="Z99" s="258"/>
    </x:row>
    <x:row r="100">
      <x:c r="A100" s="258"/>
      <x:c r="B100" s="258"/>
      <x:c r="C100" s="258"/>
      <x:c r="D100" s="258"/>
      <x:c r="E100" s="258"/>
      <x:c r="F100" s="258"/>
      <x:c r="G100" s="258"/>
      <x:c r="H100" s="258"/>
      <x:c r="I100" s="258"/>
      <x:c r="J100" s="258"/>
      <x:c r="K100" s="258"/>
      <x:c r="L100" s="258"/>
      <x:c r="M100" s="258"/>
      <x:c r="N100" s="258"/>
      <x:c r="O100" s="258"/>
      <x:c r="P100" s="258"/>
      <x:c r="Q100" s="258"/>
      <x:c r="R100" s="258"/>
      <x:c r="S100" s="258"/>
      <x:c r="T100" s="258"/>
      <x:c r="U100" s="258"/>
      <x:c r="V100" s="258"/>
      <x:c r="W100" s="258"/>
      <x:c r="X100" s="258"/>
      <x:c r="Y100" s="258"/>
      <x:c r="Z100" s="258"/>
    </x:row>
  </x:sheetData>
  <x:mergeCells>
    <x:mergeCell ref="A1:I1"/>
  </x:mergeCells>
  <x:conditionalFormatting sqref="E4:E23">
    <x:cfRule type="dataBar" priority="1">
      <x:dataBar>
        <x:cfvo type="min"/>
        <x:cfvo type="max"/>
        <x:color rgb="16A34A"/>
      </x:dataBar>
      <x:extLst>
        <x:ext xmlns:x14="http://schemas.microsoft.com/office/spreadsheetml/2009/9/main" uri="{B025F937-C7B1-47D3-B67F-A62EFF666E3E}">
          <x14:id>{5F25BF7E-16F3-C6BF-F307-6A8B84770772}</x14:id>
        </x:ext>
      </x:extLst>
    </x:cfRule>
  </x:conditionalFormatting>
  <x:conditionalFormatting sqref="F4:F23">
    <x:cfRule type="expression" dxfId="0" priority="2">
      <x:formula>F4="Winner"</x:formula>
    </x:cfRule>
    <x:cfRule type="expression" dxfId="1" priority="3">
      <x:formula>F4="Knocked out"</x:formula>
    </x:cfRule>
  </x:conditionalFormatting>
  <x:dataValidations count="1">
    <x:dataValidation type="list" sqref="F4:F23">
      <x:formula1>"In play,Knocked out,Qualified,Winner"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e0cce7e33fd4c4e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5F25BF7E-16F3-C6BF-F307-6A8B84770772}">
            <x14:dataBar gradient="1">
              <x14:cfvo type="min"/>
              <x14:cfvo type="max"/>
              <x14:fillColor rgb="16A34A"/>
            </x14:dataBar>
          </x14:cfRule>
          <xm:sqref>E4:E23</xm:sqref>
        </x14:conditionalFormatting>
      </x14:conditionalFormattings>
    </x:ext>
  </x:extLst>
</x:worksheet>
</file>

<file path=xl/worksheets/sheet4.xml><?xml version="1.0" encoding="utf-8"?>
<x:worksheet xmlns:x="http://schemas.openxmlformats.org/spreadsheetml/2006/main">
  <x:sheetFormatPr defaultRowHeight="15"/>
  <x:cols>
    <x:col min="1" max="1" width="13.859999656677246" hidden="0" customWidth="1"/>
    <x:col min="2" max="2" width="8.079999923706055" hidden="0" customWidth="1"/>
    <x:col min="3" max="3" width="8.609999656677246" hidden="0" customWidth="1"/>
    <x:col min="4" max="4" width="7.670000076293945" hidden="0" customWidth="1"/>
    <x:col min="5" max="5" width="7.269999980926514" hidden="0" customWidth="1"/>
    <x:col min="6" max="6" width="9.289999961853027" hidden="0" customWidth="1"/>
    <x:col min="7" max="7" width="11.569999694824219" hidden="0" customWidth="1"/>
    <x:col min="8" max="8" width="3.9000000953674316" hidden="0" customWidth="1"/>
  </x:cols>
  <x:sheetData>
    <x:row r="1" ht="36" customHeight="1">
      <x:c r="A1" s="5" t="str">
        <x:v>RESULTS ENTRY - UPDATE SCORES HERE</x:v>
      </x:c>
      <x:c r="B1" s="5"/>
      <x:c r="C1" s="5"/>
      <x:c r="D1" s="5"/>
      <x:c r="E1" s="5"/>
      <x:c r="F1" s="5"/>
      <x:c r="G1" s="5"/>
      <x:c r="H1" s="5"/>
      <x:c r="I1" s="258"/>
      <x:c r="J1" s="258"/>
      <x:c r="K1" s="258"/>
      <x:c r="L1" s="258"/>
      <x:c r="M1" s="258"/>
      <x:c r="N1" s="258"/>
      <x:c r="O1" s="258"/>
      <x:c r="P1" s="258"/>
      <x:c r="Q1" s="258"/>
      <x:c r="R1" s="258"/>
      <x:c r="S1" s="258"/>
      <x:c r="T1" s="258"/>
      <x:c r="U1" s="258"/>
      <x:c r="V1" s="258"/>
      <x:c r="W1" s="258"/>
      <x:c r="X1" s="258"/>
      <x:c r="Y1" s="258"/>
      <x:c r="Z1" s="258"/>
    </x:row>
    <x:row r="2">
      <x:c r="A2" s="258"/>
      <x:c r="B2" s="258"/>
      <x:c r="C2" s="258"/>
      <x:c r="D2" s="258"/>
      <x:c r="E2" s="258"/>
      <x:c r="F2" s="258"/>
      <x:c r="G2" s="258"/>
      <x:c r="H2" s="258"/>
      <x:c r="I2" s="258"/>
      <x:c r="J2" s="258"/>
      <x:c r="K2" s="258"/>
      <x:c r="L2" s="258"/>
      <x:c r="M2" s="258"/>
      <x:c r="N2" s="258"/>
      <x:c r="O2" s="258"/>
      <x:c r="P2" s="258"/>
      <x:c r="Q2" s="258"/>
      <x:c r="R2" s="258"/>
      <x:c r="S2" s="258"/>
      <x:c r="T2" s="258"/>
      <x:c r="U2" s="258"/>
      <x:c r="V2" s="258"/>
      <x:c r="W2" s="258"/>
      <x:c r="X2" s="258"/>
      <x:c r="Y2" s="258"/>
      <x:c r="Z2" s="258"/>
    </x:row>
    <x:row r="3">
      <x:c r="A3" s="310" t="str">
        <x:v>Team</x:v>
      </x:c>
      <x:c r="B3" s="311" t="str">
        <x:v>Group Pts</x:v>
      </x:c>
      <x:c r="C3" s="311" t="str">
        <x:v>R16 Bonus</x:v>
      </x:c>
      <x:c r="D3" s="311" t="str">
        <x:v>QF Bonus</x:v>
      </x:c>
      <x:c r="E3" s="311" t="str">
        <x:v>SF Bonus</x:v>
      </x:c>
      <x:c r="F3" s="311" t="str">
        <x:v>Final Bonus</x:v>
      </x:c>
      <x:c r="G3" s="311" t="str">
        <x:v>Winner Bonus</x:v>
      </x:c>
      <x:c r="H3" s="312" t="str">
        <x:v>Total</x:v>
      </x:c>
      <x:c r="I3" s="258"/>
      <x:c r="J3" s="258"/>
      <x:c r="K3" s="258"/>
      <x:c r="L3" s="258"/>
      <x:c r="M3" s="258"/>
      <x:c r="N3" s="258"/>
      <x:c r="O3" s="258"/>
      <x:c r="P3" s="258"/>
      <x:c r="Q3" s="258"/>
      <x:c r="R3" s="258"/>
      <x:c r="S3" s="258"/>
      <x:c r="T3" s="258"/>
      <x:c r="U3" s="258"/>
      <x:c r="V3" s="258"/>
      <x:c r="W3" s="258"/>
      <x:c r="X3" s="258"/>
      <x:c r="Y3" s="258"/>
      <x:c r="Z3" s="258"/>
    </x:row>
    <x:row r="4">
      <x:c r="A4" s="302" t="str">
        <x:v>🇳🇱 Netherlands</x:v>
      </x:c>
      <x:c r="B4" s="313" t="n">
        <x:v>0</x:v>
      </x:c>
      <x:c r="C4" s="313" t="n">
        <x:v>0</x:v>
      </x:c>
      <x:c r="D4" s="313" t="n">
        <x:v>0</x:v>
      </x:c>
      <x:c r="E4" s="313" t="n">
        <x:v>0</x:v>
      </x:c>
      <x:c r="F4" s="313" t="n">
        <x:v>0</x:v>
      </x:c>
      <x:c r="G4" s="313" t="n">
        <x:v>0</x:v>
      </x:c>
      <x:c r="H4" s="314" t="n">
        <x:f>SUM(B4:G4)</x:f>
        <x:v>0</x:v>
      </x:c>
      <x:c r="I4" s="258"/>
      <x:c r="J4" s="258"/>
      <x:c r="K4" s="258"/>
      <x:c r="L4" s="258"/>
      <x:c r="M4" s="258"/>
      <x:c r="N4" s="258"/>
      <x:c r="O4" s="258"/>
      <x:c r="P4" s="258"/>
      <x:c r="Q4" s="258"/>
      <x:c r="R4" s="258"/>
      <x:c r="S4" s="258"/>
      <x:c r="T4" s="258"/>
      <x:c r="U4" s="258"/>
      <x:c r="V4" s="258"/>
      <x:c r="W4" s="258"/>
      <x:c r="X4" s="258"/>
      <x:c r="Y4" s="258"/>
      <x:c r="Z4" s="258"/>
    </x:row>
    <x:row r="5">
      <x:c r="A5" s="302" t="str">
        <x:v>🇮🇷 Iran</x:v>
      </x:c>
      <x:c r="B5" s="313" t="n">
        <x:v>0</x:v>
      </x:c>
      <x:c r="C5" s="313" t="n">
        <x:v>0</x:v>
      </x:c>
      <x:c r="D5" s="313" t="n">
        <x:v>0</x:v>
      </x:c>
      <x:c r="E5" s="313" t="n">
        <x:v>0</x:v>
      </x:c>
      <x:c r="F5" s="313" t="n">
        <x:v>0</x:v>
      </x:c>
      <x:c r="G5" s="313" t="n">
        <x:v>0</x:v>
      </x:c>
      <x:c r="H5" s="314" t="n">
        <x:f>SUM(B5:G5)</x:f>
        <x:v>0</x:v>
      </x:c>
      <x:c r="I5" s="258"/>
      <x:c r="J5" s="258"/>
      <x:c r="K5" s="258"/>
      <x:c r="L5" s="258"/>
      <x:c r="M5" s="258"/>
      <x:c r="N5" s="258"/>
      <x:c r="O5" s="258"/>
      <x:c r="P5" s="258"/>
      <x:c r="Q5" s="258"/>
      <x:c r="R5" s="258"/>
      <x:c r="S5" s="258"/>
      <x:c r="T5" s="258"/>
      <x:c r="U5" s="258"/>
      <x:c r="V5" s="258"/>
      <x:c r="W5" s="258"/>
      <x:c r="X5" s="258"/>
      <x:c r="Y5" s="258"/>
      <x:c r="Z5" s="258"/>
    </x:row>
    <x:row r="6">
      <x:c r="A6" s="302" t="str">
        <x:v>🇧🇷 Brazil</x:v>
      </x:c>
      <x:c r="B6" s="313" t="n">
        <x:v>0</x:v>
      </x:c>
      <x:c r="C6" s="313" t="n">
        <x:v>0</x:v>
      </x:c>
      <x:c r="D6" s="313" t="n">
        <x:v>0</x:v>
      </x:c>
      <x:c r="E6" s="313" t="n">
        <x:v>0</x:v>
      </x:c>
      <x:c r="F6" s="313" t="n">
        <x:v>0</x:v>
      </x:c>
      <x:c r="G6" s="313" t="n">
        <x:v>0</x:v>
      </x:c>
      <x:c r="H6" s="314" t="n">
        <x:f>SUM(B6:G6)</x:f>
        <x:v>0</x:v>
      </x:c>
      <x:c r="I6" s="258"/>
      <x:c r="J6" s="258"/>
      <x:c r="K6" s="258"/>
      <x:c r="L6" s="258"/>
      <x:c r="M6" s="258"/>
      <x:c r="N6" s="258"/>
      <x:c r="O6" s="258"/>
      <x:c r="P6" s="258"/>
      <x:c r="Q6" s="258"/>
      <x:c r="R6" s="258"/>
      <x:c r="S6" s="258"/>
      <x:c r="T6" s="258"/>
      <x:c r="U6" s="258"/>
      <x:c r="V6" s="258"/>
      <x:c r="W6" s="258"/>
      <x:c r="X6" s="258"/>
      <x:c r="Y6" s="258"/>
      <x:c r="Z6" s="258"/>
    </x:row>
    <x:row r="7">
      <x:c r="A7" s="302" t="str">
        <x:v>🇦🇹 Austria</x:v>
      </x:c>
      <x:c r="B7" s="313" t="n">
        <x:v>0</x:v>
      </x:c>
      <x:c r="C7" s="313" t="n">
        <x:v>0</x:v>
      </x:c>
      <x:c r="D7" s="313" t="n">
        <x:v>0</x:v>
      </x:c>
      <x:c r="E7" s="313" t="n">
        <x:v>0</x:v>
      </x:c>
      <x:c r="F7" s="313" t="n">
        <x:v>0</x:v>
      </x:c>
      <x:c r="G7" s="313" t="n">
        <x:v>0</x:v>
      </x:c>
      <x:c r="H7" s="314" t="n">
        <x:f>SUM(B7:G7)</x:f>
        <x:v>0</x:v>
      </x:c>
      <x:c r="I7" s="258"/>
      <x:c r="J7" s="258"/>
      <x:c r="K7" s="258"/>
      <x:c r="L7" s="258"/>
      <x:c r="M7" s="258"/>
      <x:c r="N7" s="258"/>
      <x:c r="O7" s="258"/>
      <x:c r="P7" s="258"/>
      <x:c r="Q7" s="258"/>
      <x:c r="R7" s="258"/>
      <x:c r="S7" s="258"/>
      <x:c r="T7" s="258"/>
      <x:c r="U7" s="258"/>
      <x:c r="V7" s="258"/>
      <x:c r="W7" s="258"/>
      <x:c r="X7" s="258"/>
      <x:c r="Y7" s="258"/>
      <x:c r="Z7" s="258"/>
    </x:row>
    <x:row r="8">
      <x:c r="A8" s="302" t="str">
        <x:v>🇩🇪 Germany</x:v>
      </x:c>
      <x:c r="B8" s="313" t="n">
        <x:v>0</x:v>
      </x:c>
      <x:c r="C8" s="313" t="n">
        <x:v>0</x:v>
      </x:c>
      <x:c r="D8" s="313" t="n">
        <x:v>0</x:v>
      </x:c>
      <x:c r="E8" s="313" t="n">
        <x:v>0</x:v>
      </x:c>
      <x:c r="F8" s="313" t="n">
        <x:v>0</x:v>
      </x:c>
      <x:c r="G8" s="313" t="n">
        <x:v>0</x:v>
      </x:c>
      <x:c r="H8" s="314" t="n">
        <x:f>SUM(B8:G8)</x:f>
        <x:v>0</x:v>
      </x:c>
      <x:c r="I8" s="258"/>
      <x:c r="J8" s="258"/>
      <x:c r="K8" s="258"/>
      <x:c r="L8" s="258"/>
      <x:c r="M8" s="258"/>
      <x:c r="N8" s="258"/>
      <x:c r="O8" s="258"/>
      <x:c r="P8" s="258"/>
      <x:c r="Q8" s="258"/>
      <x:c r="R8" s="258"/>
      <x:c r="S8" s="258"/>
      <x:c r="T8" s="258"/>
      <x:c r="U8" s="258"/>
      <x:c r="V8" s="258"/>
      <x:c r="W8" s="258"/>
      <x:c r="X8" s="258"/>
      <x:c r="Y8" s="258"/>
      <x:c r="Z8" s="258"/>
    </x:row>
    <x:row r="9">
      <x:c r="A9" s="302" t="str">
        <x:v>🇲🇽 Mexico</x:v>
      </x:c>
      <x:c r="B9" s="313" t="n">
        <x:v>0</x:v>
      </x:c>
      <x:c r="C9" s="313" t="n">
        <x:v>0</x:v>
      </x:c>
      <x:c r="D9" s="313" t="n">
        <x:v>0</x:v>
      </x:c>
      <x:c r="E9" s="313" t="n">
        <x:v>0</x:v>
      </x:c>
      <x:c r="F9" s="313" t="n">
        <x:v>0</x:v>
      </x:c>
      <x:c r="G9" s="313" t="n">
        <x:v>0</x:v>
      </x:c>
      <x:c r="H9" s="314" t="n">
        <x:f>SUM(B9:G9)</x:f>
        <x:v>0</x:v>
      </x:c>
      <x:c r="I9" s="258"/>
      <x:c r="J9" s="258"/>
      <x:c r="K9" s="258"/>
      <x:c r="L9" s="258"/>
      <x:c r="M9" s="258"/>
      <x:c r="N9" s="258"/>
      <x:c r="O9" s="258"/>
      <x:c r="P9" s="258"/>
      <x:c r="Q9" s="258"/>
      <x:c r="R9" s="258"/>
      <x:c r="S9" s="258"/>
      <x:c r="T9" s="258"/>
      <x:c r="U9" s="258"/>
      <x:c r="V9" s="258"/>
      <x:c r="W9" s="258"/>
      <x:c r="X9" s="258"/>
      <x:c r="Y9" s="258"/>
      <x:c r="Z9" s="258"/>
    </x:row>
    <x:row r="10">
      <x:c r="A10" s="302" t="str">
        <x:v>🇵🇹 Portugal</x:v>
      </x:c>
      <x:c r="B10" s="313" t="n">
        <x:v>0</x:v>
      </x:c>
      <x:c r="C10" s="313" t="n">
        <x:v>0</x:v>
      </x:c>
      <x:c r="D10" s="313" t="n">
        <x:v>0</x:v>
      </x:c>
      <x:c r="E10" s="313" t="n">
        <x:v>0</x:v>
      </x:c>
      <x:c r="F10" s="313" t="n">
        <x:v>0</x:v>
      </x:c>
      <x:c r="G10" s="313" t="n">
        <x:v>0</x:v>
      </x:c>
      <x:c r="H10" s="314" t="n">
        <x:f>SUM(B10:G10)</x:f>
        <x:v>0</x:v>
      </x:c>
      <x:c r="I10" s="258"/>
      <x:c r="J10" s="258"/>
      <x:c r="K10" s="258"/>
      <x:c r="L10" s="258"/>
      <x:c r="M10" s="258"/>
      <x:c r="N10" s="258"/>
      <x:c r="O10" s="258"/>
      <x:c r="P10" s="258"/>
      <x:c r="Q10" s="258"/>
      <x:c r="R10" s="258"/>
      <x:c r="S10" s="258"/>
      <x:c r="T10" s="258"/>
      <x:c r="U10" s="258"/>
      <x:c r="V10" s="258"/>
      <x:c r="W10" s="258"/>
      <x:c r="X10" s="258"/>
      <x:c r="Y10" s="258"/>
      <x:c r="Z10" s="258"/>
    </x:row>
    <x:row r="11">
      <x:c r="A11" s="302" t="str">
        <x:v>🇨🇭 Switzerland</x:v>
      </x:c>
      <x:c r="B11" s="313" t="n">
        <x:v>0</x:v>
      </x:c>
      <x:c r="C11" s="313" t="n">
        <x:v>0</x:v>
      </x:c>
      <x:c r="D11" s="313" t="n">
        <x:v>0</x:v>
      </x:c>
      <x:c r="E11" s="313" t="n">
        <x:v>0</x:v>
      </x:c>
      <x:c r="F11" s="313" t="n">
        <x:v>0</x:v>
      </x:c>
      <x:c r="G11" s="313" t="n">
        <x:v>0</x:v>
      </x:c>
      <x:c r="H11" s="314" t="n">
        <x:f>SUM(B11:G11)</x:f>
        <x:v>0</x:v>
      </x:c>
      <x:c r="I11" s="258"/>
      <x:c r="J11" s="258"/>
      <x:c r="K11" s="258"/>
      <x:c r="L11" s="258"/>
      <x:c r="M11" s="258"/>
      <x:c r="N11" s="258"/>
      <x:c r="O11" s="258"/>
      <x:c r="P11" s="258"/>
      <x:c r="Q11" s="258"/>
      <x:c r="R11" s="258"/>
      <x:c r="S11" s="258"/>
      <x:c r="T11" s="258"/>
      <x:c r="U11" s="258"/>
      <x:c r="V11" s="258"/>
      <x:c r="W11" s="258"/>
      <x:c r="X11" s="258"/>
      <x:c r="Y11" s="258"/>
      <x:c r="Z11" s="258"/>
    </x:row>
    <x:row r="12">
      <x:c r="A12" s="302" t="str">
        <x:v>🇧🇪 Belgium</x:v>
      </x:c>
      <x:c r="B12" s="313" t="n">
        <x:v>0</x:v>
      </x:c>
      <x:c r="C12" s="313" t="n">
        <x:v>0</x:v>
      </x:c>
      <x:c r="D12" s="313" t="n">
        <x:v>0</x:v>
      </x:c>
      <x:c r="E12" s="313" t="n">
        <x:v>0</x:v>
      </x:c>
      <x:c r="F12" s="313" t="n">
        <x:v>0</x:v>
      </x:c>
      <x:c r="G12" s="313" t="n">
        <x:v>0</x:v>
      </x:c>
      <x:c r="H12" s="314" t="n">
        <x:f>SUM(B12:G12)</x:f>
        <x:v>0</x:v>
      </x:c>
      <x:c r="I12" s="258"/>
      <x:c r="J12" s="258"/>
      <x:c r="K12" s="258"/>
      <x:c r="L12" s="258"/>
      <x:c r="M12" s="258"/>
      <x:c r="N12" s="258"/>
      <x:c r="O12" s="258"/>
      <x:c r="P12" s="258"/>
      <x:c r="Q12" s="258"/>
      <x:c r="R12" s="258"/>
      <x:c r="S12" s="258"/>
      <x:c r="T12" s="258"/>
      <x:c r="U12" s="258"/>
      <x:c r="V12" s="258"/>
      <x:c r="W12" s="258"/>
      <x:c r="X12" s="258"/>
      <x:c r="Y12" s="258"/>
      <x:c r="Z12" s="258"/>
    </x:row>
    <x:row r="13">
      <x:c r="A13" s="302" t="str">
        <x:v>🇳🇴 Norway</x:v>
      </x:c>
      <x:c r="B13" s="313" t="n">
        <x:v>0</x:v>
      </x:c>
      <x:c r="C13" s="313" t="n">
        <x:v>0</x:v>
      </x:c>
      <x:c r="D13" s="313" t="n">
        <x:v>0</x:v>
      </x:c>
      <x:c r="E13" s="313" t="n">
        <x:v>0</x:v>
      </x:c>
      <x:c r="F13" s="313" t="n">
        <x:v>0</x:v>
      </x:c>
      <x:c r="G13" s="313" t="n">
        <x:v>0</x:v>
      </x:c>
      <x:c r="H13" s="314" t="n">
        <x:f>SUM(B13:G13)</x:f>
        <x:v>0</x:v>
      </x:c>
      <x:c r="I13" s="258"/>
      <x:c r="J13" s="258"/>
      <x:c r="K13" s="258"/>
      <x:c r="L13" s="258"/>
      <x:c r="M13" s="258"/>
      <x:c r="N13" s="258"/>
      <x:c r="O13" s="258"/>
      <x:c r="P13" s="258"/>
      <x:c r="Q13" s="258"/>
      <x:c r="R13" s="258"/>
      <x:c r="S13" s="258"/>
      <x:c r="T13" s="258"/>
      <x:c r="U13" s="258"/>
      <x:c r="V13" s="258"/>
      <x:c r="W13" s="258"/>
      <x:c r="X13" s="258"/>
      <x:c r="Y13" s="258"/>
      <x:c r="Z13" s="258"/>
    </x:row>
    <x:row r="14">
      <x:c r="A14" s="302" t="str">
        <x:v>🏴 England</x:v>
      </x:c>
      <x:c r="B14" s="313" t="n">
        <x:v>0</x:v>
      </x:c>
      <x:c r="C14" s="313" t="n">
        <x:v>0</x:v>
      </x:c>
      <x:c r="D14" s="313" t="n">
        <x:v>0</x:v>
      </x:c>
      <x:c r="E14" s="313" t="n">
        <x:v>0</x:v>
      </x:c>
      <x:c r="F14" s="313" t="n">
        <x:v>0</x:v>
      </x:c>
      <x:c r="G14" s="313" t="n">
        <x:v>0</x:v>
      </x:c>
      <x:c r="H14" s="314" t="n">
        <x:f>SUM(B14:G14)</x:f>
        <x:v>0</x:v>
      </x:c>
      <x:c r="I14" s="258"/>
      <x:c r="J14" s="258"/>
      <x:c r="K14" s="258"/>
      <x:c r="L14" s="258"/>
      <x:c r="M14" s="258"/>
      <x:c r="N14" s="258"/>
      <x:c r="O14" s="258"/>
      <x:c r="P14" s="258"/>
      <x:c r="Q14" s="258"/>
      <x:c r="R14" s="258"/>
      <x:c r="S14" s="258"/>
      <x:c r="T14" s="258"/>
      <x:c r="U14" s="258"/>
      <x:c r="V14" s="258"/>
      <x:c r="W14" s="258"/>
      <x:c r="X14" s="258"/>
      <x:c r="Y14" s="258"/>
      <x:c r="Z14" s="258"/>
    </x:row>
    <x:row r="15">
      <x:c r="A15" s="302" t="str">
        <x:v>🇯🇵 Japan</x:v>
      </x:c>
      <x:c r="B15" s="313" t="n">
        <x:v>0</x:v>
      </x:c>
      <x:c r="C15" s="313" t="n">
        <x:v>0</x:v>
      </x:c>
      <x:c r="D15" s="313" t="n">
        <x:v>0</x:v>
      </x:c>
      <x:c r="E15" s="313" t="n">
        <x:v>0</x:v>
      </x:c>
      <x:c r="F15" s="313" t="n">
        <x:v>0</x:v>
      </x:c>
      <x:c r="G15" s="313" t="n">
        <x:v>0</x:v>
      </x:c>
      <x:c r="H15" s="314" t="n">
        <x:f>SUM(B15:G15)</x:f>
        <x:v>0</x:v>
      </x:c>
      <x:c r="I15" s="258"/>
      <x:c r="J15" s="258"/>
      <x:c r="K15" s="258"/>
      <x:c r="L15" s="258"/>
      <x:c r="M15" s="258"/>
      <x:c r="N15" s="258"/>
      <x:c r="O15" s="258"/>
      <x:c r="P15" s="258"/>
      <x:c r="Q15" s="258"/>
      <x:c r="R15" s="258"/>
      <x:c r="S15" s="258"/>
      <x:c r="T15" s="258"/>
      <x:c r="U15" s="258"/>
      <x:c r="V15" s="258"/>
      <x:c r="W15" s="258"/>
      <x:c r="X15" s="258"/>
      <x:c r="Y15" s="258"/>
      <x:c r="Z15" s="258"/>
    </x:row>
    <x:row r="16">
      <x:c r="A16" s="302" t="str">
        <x:v>🇭🇷 Croatia</x:v>
      </x:c>
      <x:c r="B16" s="313" t="n">
        <x:v>0</x:v>
      </x:c>
      <x:c r="C16" s="313" t="n">
        <x:v>0</x:v>
      </x:c>
      <x:c r="D16" s="313" t="n">
        <x:v>0</x:v>
      </x:c>
      <x:c r="E16" s="313" t="n">
        <x:v>0</x:v>
      </x:c>
      <x:c r="F16" s="313" t="n">
        <x:v>0</x:v>
      </x:c>
      <x:c r="G16" s="313" t="n">
        <x:v>0</x:v>
      </x:c>
      <x:c r="H16" s="314" t="n">
        <x:f>SUM(B16:G16)</x:f>
        <x:v>0</x:v>
      </x:c>
      <x:c r="I16" s="258"/>
      <x:c r="J16" s="258"/>
      <x:c r="K16" s="258"/>
      <x:c r="L16" s="258"/>
      <x:c r="M16" s="258"/>
      <x:c r="N16" s="258"/>
      <x:c r="O16" s="258"/>
      <x:c r="P16" s="258"/>
      <x:c r="Q16" s="258"/>
      <x:c r="R16" s="258"/>
      <x:c r="S16" s="258"/>
      <x:c r="T16" s="258"/>
      <x:c r="U16" s="258"/>
      <x:c r="V16" s="258"/>
      <x:c r="W16" s="258"/>
      <x:c r="X16" s="258"/>
      <x:c r="Y16" s="258"/>
      <x:c r="Z16" s="258"/>
    </x:row>
    <x:row r="17">
      <x:c r="A17" s="302" t="str">
        <x:v>🇵🇾 Paraguay</x:v>
      </x:c>
      <x:c r="B17" s="313" t="n">
        <x:v>0</x:v>
      </x:c>
      <x:c r="C17" s="313" t="n">
        <x:v>0</x:v>
      </x:c>
      <x:c r="D17" s="313" t="n">
        <x:v>0</x:v>
      </x:c>
      <x:c r="E17" s="313" t="n">
        <x:v>0</x:v>
      </x:c>
      <x:c r="F17" s="313" t="n">
        <x:v>0</x:v>
      </x:c>
      <x:c r="G17" s="313" t="n">
        <x:v>0</x:v>
      </x:c>
      <x:c r="H17" s="314" t="n">
        <x:f>SUM(B17:G17)</x:f>
        <x:v>0</x:v>
      </x:c>
      <x:c r="I17" s="258"/>
      <x:c r="J17" s="258"/>
      <x:c r="K17" s="258"/>
      <x:c r="L17" s="258"/>
      <x:c r="M17" s="258"/>
      <x:c r="N17" s="258"/>
      <x:c r="O17" s="258"/>
      <x:c r="P17" s="258"/>
      <x:c r="Q17" s="258"/>
      <x:c r="R17" s="258"/>
      <x:c r="S17" s="258"/>
      <x:c r="T17" s="258"/>
      <x:c r="U17" s="258"/>
      <x:c r="V17" s="258"/>
      <x:c r="W17" s="258"/>
      <x:c r="X17" s="258"/>
      <x:c r="Y17" s="258"/>
      <x:c r="Z17" s="258"/>
    </x:row>
    <x:row r="18">
      <x:c r="A18" s="302" t="str">
        <x:v>🇲🇦 Morocco</x:v>
      </x:c>
      <x:c r="B18" s="313" t="n">
        <x:v>0</x:v>
      </x:c>
      <x:c r="C18" s="313" t="n">
        <x:v>0</x:v>
      </x:c>
      <x:c r="D18" s="313" t="n">
        <x:v>0</x:v>
      </x:c>
      <x:c r="E18" s="313" t="n">
        <x:v>0</x:v>
      </x:c>
      <x:c r="F18" s="313" t="n">
        <x:v>0</x:v>
      </x:c>
      <x:c r="G18" s="313" t="n">
        <x:v>0</x:v>
      </x:c>
      <x:c r="H18" s="314" t="n">
        <x:f>SUM(B18:G18)</x:f>
        <x:v>0</x:v>
      </x:c>
      <x:c r="I18" s="258"/>
      <x:c r="J18" s="258"/>
      <x:c r="K18" s="258"/>
      <x:c r="L18" s="258"/>
      <x:c r="M18" s="258"/>
      <x:c r="N18" s="258"/>
      <x:c r="O18" s="258"/>
      <x:c r="P18" s="258"/>
      <x:c r="Q18" s="258"/>
      <x:c r="R18" s="258"/>
      <x:c r="S18" s="258"/>
      <x:c r="T18" s="258"/>
      <x:c r="U18" s="258"/>
      <x:c r="V18" s="258"/>
      <x:c r="W18" s="258"/>
      <x:c r="X18" s="258"/>
      <x:c r="Y18" s="258"/>
      <x:c r="Z18" s="258"/>
    </x:row>
    <x:row r="19">
      <x:c r="A19" s="302" t="str">
        <x:v>🇺🇸 United States</x:v>
      </x:c>
      <x:c r="B19" s="313" t="n">
        <x:v>0</x:v>
      </x:c>
      <x:c r="C19" s="313" t="n">
        <x:v>0</x:v>
      </x:c>
      <x:c r="D19" s="313" t="n">
        <x:v>0</x:v>
      </x:c>
      <x:c r="E19" s="313" t="n">
        <x:v>0</x:v>
      </x:c>
      <x:c r="F19" s="313" t="n">
        <x:v>0</x:v>
      </x:c>
      <x:c r="G19" s="313" t="n">
        <x:v>0</x:v>
      </x:c>
      <x:c r="H19" s="314" t="n">
        <x:f>SUM(B19:G19)</x:f>
        <x:v>0</x:v>
      </x:c>
      <x:c r="I19" s="258"/>
      <x:c r="J19" s="258"/>
      <x:c r="K19" s="258"/>
      <x:c r="L19" s="258"/>
      <x:c r="M19" s="258"/>
      <x:c r="N19" s="258"/>
      <x:c r="O19" s="258"/>
      <x:c r="P19" s="258"/>
      <x:c r="Q19" s="258"/>
      <x:c r="R19" s="258"/>
      <x:c r="S19" s="258"/>
      <x:c r="T19" s="258"/>
      <x:c r="U19" s="258"/>
      <x:c r="V19" s="258"/>
      <x:c r="W19" s="258"/>
      <x:c r="X19" s="258"/>
      <x:c r="Y19" s="258"/>
      <x:c r="Z19" s="258"/>
    </x:row>
    <x:row r="20">
      <x:c r="A20" s="302" t="str">
        <x:v>🇨🇴 Colombia</x:v>
      </x:c>
      <x:c r="B20" s="313" t="n">
        <x:v>0</x:v>
      </x:c>
      <x:c r="C20" s="313" t="n">
        <x:v>0</x:v>
      </x:c>
      <x:c r="D20" s="313" t="n">
        <x:v>0</x:v>
      </x:c>
      <x:c r="E20" s="313" t="n">
        <x:v>0</x:v>
      </x:c>
      <x:c r="F20" s="313" t="n">
        <x:v>0</x:v>
      </x:c>
      <x:c r="G20" s="313" t="n">
        <x:v>0</x:v>
      </x:c>
      <x:c r="H20" s="314" t="n">
        <x:f>SUM(B20:G20)</x:f>
        <x:v>0</x:v>
      </x:c>
      <x:c r="I20" s="258"/>
      <x:c r="J20" s="258"/>
      <x:c r="K20" s="258"/>
      <x:c r="L20" s="258"/>
      <x:c r="M20" s="258"/>
      <x:c r="N20" s="258"/>
      <x:c r="O20" s="258"/>
      <x:c r="P20" s="258"/>
      <x:c r="Q20" s="258"/>
      <x:c r="R20" s="258"/>
      <x:c r="S20" s="258"/>
      <x:c r="T20" s="258"/>
      <x:c r="U20" s="258"/>
      <x:c r="V20" s="258"/>
      <x:c r="W20" s="258"/>
      <x:c r="X20" s="258"/>
      <x:c r="Y20" s="258"/>
      <x:c r="Z20" s="258"/>
    </x:row>
    <x:row r="21">
      <x:c r="A21" s="302" t="str">
        <x:v>🇹🇷 Türkiye</x:v>
      </x:c>
      <x:c r="B21" s="313" t="n">
        <x:v>0</x:v>
      </x:c>
      <x:c r="C21" s="313" t="n">
        <x:v>0</x:v>
      </x:c>
      <x:c r="D21" s="313" t="n">
        <x:v>0</x:v>
      </x:c>
      <x:c r="E21" s="313" t="n">
        <x:v>0</x:v>
      </x:c>
      <x:c r="F21" s="313" t="n">
        <x:v>0</x:v>
      </x:c>
      <x:c r="G21" s="313" t="n">
        <x:v>0</x:v>
      </x:c>
      <x:c r="H21" s="314" t="n">
        <x:f>SUM(B21:G21)</x:f>
        <x:v>0</x:v>
      </x:c>
      <x:c r="I21" s="258"/>
      <x:c r="J21" s="258"/>
      <x:c r="K21" s="258"/>
      <x:c r="L21" s="258"/>
      <x:c r="M21" s="258"/>
      <x:c r="N21" s="258"/>
      <x:c r="O21" s="258"/>
      <x:c r="P21" s="258"/>
      <x:c r="Q21" s="258"/>
      <x:c r="R21" s="258"/>
      <x:c r="S21" s="258"/>
      <x:c r="T21" s="258"/>
      <x:c r="U21" s="258"/>
      <x:c r="V21" s="258"/>
      <x:c r="W21" s="258"/>
      <x:c r="X21" s="258"/>
      <x:c r="Y21" s="258"/>
      <x:c r="Z21" s="258"/>
    </x:row>
    <x:row r="22">
      <x:c r="A22" s="302" t="str">
        <x:v>🇸🇳 Senegal</x:v>
      </x:c>
      <x:c r="B22" s="313" t="n">
        <x:v>0</x:v>
      </x:c>
      <x:c r="C22" s="313" t="n">
        <x:v>0</x:v>
      </x:c>
      <x:c r="D22" s="313" t="n">
        <x:v>0</x:v>
      </x:c>
      <x:c r="E22" s="313" t="n">
        <x:v>0</x:v>
      </x:c>
      <x:c r="F22" s="313" t="n">
        <x:v>0</x:v>
      </x:c>
      <x:c r="G22" s="313" t="n">
        <x:v>0</x:v>
      </x:c>
      <x:c r="H22" s="314" t="n">
        <x:f>SUM(B22:G22)</x:f>
        <x:v>0</x:v>
      </x:c>
      <x:c r="I22" s="258"/>
      <x:c r="J22" s="258"/>
      <x:c r="K22" s="258"/>
      <x:c r="L22" s="258"/>
      <x:c r="M22" s="258"/>
      <x:c r="N22" s="258"/>
      <x:c r="O22" s="258"/>
      <x:c r="P22" s="258"/>
      <x:c r="Q22" s="258"/>
      <x:c r="R22" s="258"/>
      <x:c r="S22" s="258"/>
      <x:c r="T22" s="258"/>
      <x:c r="U22" s="258"/>
      <x:c r="V22" s="258"/>
      <x:c r="W22" s="258"/>
      <x:c r="X22" s="258"/>
      <x:c r="Y22" s="258"/>
      <x:c r="Z22" s="258"/>
    </x:row>
    <x:row r="23">
      <x:c r="A23" s="315" t="str">
        <x:v>🇺🇾 Uruguay</x:v>
      </x:c>
      <x:c r="B23" s="316" t="n">
        <x:v>0</x:v>
      </x:c>
      <x:c r="C23" s="316" t="n">
        <x:v>0</x:v>
      </x:c>
      <x:c r="D23" s="316" t="n">
        <x:v>0</x:v>
      </x:c>
      <x:c r="E23" s="316" t="n">
        <x:v>0</x:v>
      </x:c>
      <x:c r="F23" s="316" t="n">
        <x:v>0</x:v>
      </x:c>
      <x:c r="G23" s="316" t="n">
        <x:v>0</x:v>
      </x:c>
      <x:c r="H23" s="317" t="n">
        <x:f>SUM(B23:G23)</x:f>
        <x:v>0</x:v>
      </x:c>
      <x:c r="I23" s="258"/>
      <x:c r="J23" s="258"/>
      <x:c r="K23" s="258"/>
      <x:c r="L23" s="258"/>
      <x:c r="M23" s="258"/>
      <x:c r="N23" s="258"/>
      <x:c r="O23" s="258"/>
      <x:c r="P23" s="258"/>
      <x:c r="Q23" s="258"/>
      <x:c r="R23" s="258"/>
      <x:c r="S23" s="258"/>
      <x:c r="T23" s="258"/>
      <x:c r="U23" s="258"/>
      <x:c r="V23" s="258"/>
      <x:c r="W23" s="258"/>
      <x:c r="X23" s="258"/>
      <x:c r="Y23" s="258"/>
      <x:c r="Z23" s="258"/>
    </x:row>
    <x:row r="24">
      <x:c r="A24" s="258"/>
      <x:c r="B24" s="258"/>
      <x:c r="C24" s="258"/>
      <x:c r="D24" s="258"/>
      <x:c r="E24" s="258"/>
      <x:c r="F24" s="258"/>
      <x:c r="G24" s="258"/>
      <x:c r="H24" s="258"/>
      <x:c r="I24" s="258"/>
      <x:c r="J24" s="258"/>
      <x:c r="K24" s="258"/>
      <x:c r="L24" s="258"/>
      <x:c r="M24" s="258"/>
      <x:c r="N24" s="258"/>
      <x:c r="O24" s="258"/>
      <x:c r="P24" s="258"/>
      <x:c r="Q24" s="258"/>
      <x:c r="R24" s="258"/>
      <x:c r="S24" s="258"/>
      <x:c r="T24" s="258"/>
      <x:c r="U24" s="258"/>
      <x:c r="V24" s="258"/>
      <x:c r="W24" s="258"/>
      <x:c r="X24" s="258"/>
      <x:c r="Y24" s="258"/>
      <x:c r="Z24" s="258"/>
    </x:row>
    <x:row r="25">
      <x:c r="A25" s="258"/>
      <x:c r="B25" s="258"/>
      <x:c r="C25" s="258"/>
      <x:c r="D25" s="258"/>
      <x:c r="E25" s="258"/>
      <x:c r="F25" s="258"/>
      <x:c r="G25" s="258"/>
      <x:c r="H25" s="258"/>
      <x:c r="I25" s="258"/>
      <x:c r="J25" s="258"/>
      <x:c r="K25" s="258"/>
      <x:c r="L25" s="258"/>
      <x:c r="M25" s="258"/>
      <x:c r="N25" s="258"/>
      <x:c r="O25" s="258"/>
      <x:c r="P25" s="258"/>
      <x:c r="Q25" s="258"/>
      <x:c r="R25" s="258"/>
      <x:c r="S25" s="258"/>
      <x:c r="T25" s="258"/>
      <x:c r="U25" s="258"/>
      <x:c r="V25" s="258"/>
      <x:c r="W25" s="258"/>
      <x:c r="X25" s="258"/>
      <x:c r="Y25" s="258"/>
      <x:c r="Z25" s="258"/>
    </x:row>
    <x:row r="26">
      <x:c r="A26" s="258"/>
      <x:c r="B26" s="258"/>
      <x:c r="C26" s="258"/>
      <x:c r="D26" s="258"/>
      <x:c r="E26" s="258"/>
      <x:c r="F26" s="258"/>
      <x:c r="G26" s="258"/>
      <x:c r="H26" s="258"/>
      <x:c r="I26" s="258"/>
      <x:c r="J26" s="258"/>
      <x:c r="K26" s="258"/>
      <x:c r="L26" s="258"/>
      <x:c r="M26" s="258"/>
      <x:c r="N26" s="258"/>
      <x:c r="O26" s="258"/>
      <x:c r="P26" s="258"/>
      <x:c r="Q26" s="258"/>
      <x:c r="R26" s="258"/>
      <x:c r="S26" s="258"/>
      <x:c r="T26" s="258"/>
      <x:c r="U26" s="258"/>
      <x:c r="V26" s="258"/>
      <x:c r="W26" s="258"/>
      <x:c r="X26" s="258"/>
      <x:c r="Y26" s="258"/>
      <x:c r="Z26" s="258"/>
    </x:row>
    <x:row r="27">
      <x:c r="A27" s="258"/>
      <x:c r="B27" s="258"/>
      <x:c r="C27" s="258"/>
      <x:c r="D27" s="258"/>
      <x:c r="E27" s="258"/>
      <x:c r="F27" s="258"/>
      <x:c r="G27" s="258"/>
      <x:c r="H27" s="258"/>
      <x:c r="I27" s="258"/>
      <x:c r="J27" s="258"/>
      <x:c r="K27" s="258"/>
      <x:c r="L27" s="258"/>
      <x:c r="M27" s="258"/>
      <x:c r="N27" s="258"/>
      <x:c r="O27" s="258"/>
      <x:c r="P27" s="258"/>
      <x:c r="Q27" s="258"/>
      <x:c r="R27" s="258"/>
      <x:c r="S27" s="258"/>
      <x:c r="T27" s="258"/>
      <x:c r="U27" s="258"/>
      <x:c r="V27" s="258"/>
      <x:c r="W27" s="258"/>
      <x:c r="X27" s="258"/>
      <x:c r="Y27" s="258"/>
      <x:c r="Z27" s="258"/>
    </x:row>
    <x:row r="28">
      <x:c r="A28" s="258"/>
      <x:c r="B28" s="258"/>
      <x:c r="C28" s="258"/>
      <x:c r="D28" s="258"/>
      <x:c r="E28" s="258"/>
      <x:c r="F28" s="258"/>
      <x:c r="G28" s="258"/>
      <x:c r="H28" s="258"/>
      <x:c r="I28" s="258"/>
      <x:c r="J28" s="258"/>
      <x:c r="K28" s="258"/>
      <x:c r="L28" s="258"/>
      <x:c r="M28" s="258"/>
      <x:c r="N28" s="258"/>
      <x:c r="O28" s="258"/>
      <x:c r="P28" s="258"/>
      <x:c r="Q28" s="258"/>
      <x:c r="R28" s="258"/>
      <x:c r="S28" s="258"/>
      <x:c r="T28" s="258"/>
      <x:c r="U28" s="258"/>
      <x:c r="V28" s="258"/>
      <x:c r="W28" s="258"/>
      <x:c r="X28" s="258"/>
      <x:c r="Y28" s="258"/>
      <x:c r="Z28" s="258"/>
    </x:row>
    <x:row r="29">
      <x:c r="A29" s="258"/>
      <x:c r="B29" s="258"/>
      <x:c r="C29" s="258"/>
      <x:c r="D29" s="258"/>
      <x:c r="E29" s="258"/>
      <x:c r="F29" s="258"/>
      <x:c r="G29" s="258"/>
      <x:c r="H29" s="258"/>
      <x:c r="I29" s="258"/>
      <x:c r="J29" s="258"/>
      <x:c r="K29" s="258"/>
      <x:c r="L29" s="258"/>
      <x:c r="M29" s="258"/>
      <x:c r="N29" s="258"/>
      <x:c r="O29" s="258"/>
      <x:c r="P29" s="258"/>
      <x:c r="Q29" s="258"/>
      <x:c r="R29" s="258"/>
      <x:c r="S29" s="258"/>
      <x:c r="T29" s="258"/>
      <x:c r="U29" s="258"/>
      <x:c r="V29" s="258"/>
      <x:c r="W29" s="258"/>
      <x:c r="X29" s="258"/>
      <x:c r="Y29" s="258"/>
      <x:c r="Z29" s="258"/>
    </x:row>
    <x:row r="30">
      <x:c r="A30" s="258"/>
      <x:c r="B30" s="258"/>
      <x:c r="C30" s="258"/>
      <x:c r="D30" s="258"/>
      <x:c r="E30" s="258"/>
      <x:c r="F30" s="258"/>
      <x:c r="G30" s="258"/>
      <x:c r="H30" s="258"/>
      <x:c r="I30" s="258"/>
      <x:c r="J30" s="258"/>
      <x:c r="K30" s="258"/>
      <x:c r="L30" s="258"/>
      <x:c r="M30" s="258"/>
      <x:c r="N30" s="258"/>
      <x:c r="O30" s="258"/>
      <x:c r="P30" s="258"/>
      <x:c r="Q30" s="258"/>
      <x:c r="R30" s="258"/>
      <x:c r="S30" s="258"/>
      <x:c r="T30" s="258"/>
      <x:c r="U30" s="258"/>
      <x:c r="V30" s="258"/>
      <x:c r="W30" s="258"/>
      <x:c r="X30" s="258"/>
      <x:c r="Y30" s="258"/>
      <x:c r="Z30" s="258"/>
    </x:row>
    <x:row r="31">
      <x:c r="A31" s="258"/>
      <x:c r="B31" s="258"/>
      <x:c r="C31" s="258"/>
      <x:c r="D31" s="258"/>
      <x:c r="E31" s="258"/>
      <x:c r="F31" s="258"/>
      <x:c r="G31" s="258"/>
      <x:c r="H31" s="258"/>
      <x:c r="I31" s="258"/>
      <x:c r="J31" s="258"/>
      <x:c r="K31" s="258"/>
      <x:c r="L31" s="258"/>
      <x:c r="M31" s="258"/>
      <x:c r="N31" s="258"/>
      <x:c r="O31" s="258"/>
      <x:c r="P31" s="258"/>
      <x:c r="Q31" s="258"/>
      <x:c r="R31" s="258"/>
      <x:c r="S31" s="258"/>
      <x:c r="T31" s="258"/>
      <x:c r="U31" s="258"/>
      <x:c r="V31" s="258"/>
      <x:c r="W31" s="258"/>
      <x:c r="X31" s="258"/>
      <x:c r="Y31" s="258"/>
      <x:c r="Z31" s="258"/>
    </x:row>
    <x:row r="32">
      <x:c r="A32" s="258"/>
      <x:c r="B32" s="258"/>
      <x:c r="C32" s="258"/>
      <x:c r="D32" s="258"/>
      <x:c r="E32" s="258"/>
      <x:c r="F32" s="258"/>
      <x:c r="G32" s="258"/>
      <x:c r="H32" s="258"/>
      <x:c r="I32" s="258"/>
      <x:c r="J32" s="258"/>
      <x:c r="K32" s="258"/>
      <x:c r="L32" s="258"/>
      <x:c r="M32" s="258"/>
      <x:c r="N32" s="258"/>
      <x:c r="O32" s="258"/>
      <x:c r="P32" s="258"/>
      <x:c r="Q32" s="258"/>
      <x:c r="R32" s="258"/>
      <x:c r="S32" s="258"/>
      <x:c r="T32" s="258"/>
      <x:c r="U32" s="258"/>
      <x:c r="V32" s="258"/>
      <x:c r="W32" s="258"/>
      <x:c r="X32" s="258"/>
      <x:c r="Y32" s="258"/>
      <x:c r="Z32" s="258"/>
    </x:row>
    <x:row r="33">
      <x:c r="A33" s="258"/>
      <x:c r="B33" s="258"/>
      <x:c r="C33" s="258"/>
      <x:c r="D33" s="258"/>
      <x:c r="E33" s="258"/>
      <x:c r="F33" s="258"/>
      <x:c r="G33" s="258"/>
      <x:c r="H33" s="258"/>
      <x:c r="I33" s="258"/>
      <x:c r="J33" s="258"/>
      <x:c r="K33" s="258"/>
      <x:c r="L33" s="258"/>
      <x:c r="M33" s="258"/>
      <x:c r="N33" s="258"/>
      <x:c r="O33" s="258"/>
      <x:c r="P33" s="258"/>
      <x:c r="Q33" s="258"/>
      <x:c r="R33" s="258"/>
      <x:c r="S33" s="258"/>
      <x:c r="T33" s="258"/>
      <x:c r="U33" s="258"/>
      <x:c r="V33" s="258"/>
      <x:c r="W33" s="258"/>
      <x:c r="X33" s="258"/>
      <x:c r="Y33" s="258"/>
      <x:c r="Z33" s="258"/>
    </x:row>
    <x:row r="34">
      <x:c r="A34" s="258"/>
      <x:c r="B34" s="258"/>
      <x:c r="C34" s="258"/>
      <x:c r="D34" s="258"/>
      <x:c r="E34" s="258"/>
      <x:c r="F34" s="258"/>
      <x:c r="G34" s="258"/>
      <x:c r="H34" s="258"/>
      <x:c r="I34" s="258"/>
      <x:c r="J34" s="258"/>
      <x:c r="K34" s="258"/>
      <x:c r="L34" s="258"/>
      <x:c r="M34" s="258"/>
      <x:c r="N34" s="258"/>
      <x:c r="O34" s="258"/>
      <x:c r="P34" s="258"/>
      <x:c r="Q34" s="258"/>
      <x:c r="R34" s="258"/>
      <x:c r="S34" s="258"/>
      <x:c r="T34" s="258"/>
      <x:c r="U34" s="258"/>
      <x:c r="V34" s="258"/>
      <x:c r="W34" s="258"/>
      <x:c r="X34" s="258"/>
      <x:c r="Y34" s="258"/>
      <x:c r="Z34" s="258"/>
    </x:row>
    <x:row r="35">
      <x:c r="A35" s="258"/>
      <x:c r="B35" s="258"/>
      <x:c r="C35" s="258"/>
      <x:c r="D35" s="258"/>
      <x:c r="E35" s="258"/>
      <x:c r="F35" s="258"/>
      <x:c r="G35" s="258"/>
      <x:c r="H35" s="258"/>
      <x:c r="I35" s="258"/>
      <x:c r="J35" s="258"/>
      <x:c r="K35" s="258"/>
      <x:c r="L35" s="258"/>
      <x:c r="M35" s="258"/>
      <x:c r="N35" s="258"/>
      <x:c r="O35" s="258"/>
      <x:c r="P35" s="258"/>
      <x:c r="Q35" s="258"/>
      <x:c r="R35" s="258"/>
      <x:c r="S35" s="258"/>
      <x:c r="T35" s="258"/>
      <x:c r="U35" s="258"/>
      <x:c r="V35" s="258"/>
      <x:c r="W35" s="258"/>
      <x:c r="X35" s="258"/>
      <x:c r="Y35" s="258"/>
      <x:c r="Z35" s="258"/>
    </x:row>
    <x:row r="36">
      <x:c r="A36" s="258"/>
      <x:c r="B36" s="258"/>
      <x:c r="C36" s="258"/>
      <x:c r="D36" s="258"/>
      <x:c r="E36" s="258"/>
      <x:c r="F36" s="258"/>
      <x:c r="G36" s="258"/>
      <x:c r="H36" s="258"/>
      <x:c r="I36" s="258"/>
      <x:c r="J36" s="258"/>
      <x:c r="K36" s="258"/>
      <x:c r="L36" s="258"/>
      <x:c r="M36" s="258"/>
      <x:c r="N36" s="258"/>
      <x:c r="O36" s="258"/>
      <x:c r="P36" s="258"/>
      <x:c r="Q36" s="258"/>
      <x:c r="R36" s="258"/>
      <x:c r="S36" s="258"/>
      <x:c r="T36" s="258"/>
      <x:c r="U36" s="258"/>
      <x:c r="V36" s="258"/>
      <x:c r="W36" s="258"/>
      <x:c r="X36" s="258"/>
      <x:c r="Y36" s="258"/>
      <x:c r="Z36" s="258"/>
    </x:row>
    <x:row r="37">
      <x:c r="A37" s="258"/>
      <x:c r="B37" s="258"/>
      <x:c r="C37" s="258"/>
      <x:c r="D37" s="258"/>
      <x:c r="E37" s="258"/>
      <x:c r="F37" s="258"/>
      <x:c r="G37" s="258"/>
      <x:c r="H37" s="258"/>
      <x:c r="I37" s="258"/>
      <x:c r="J37" s="258"/>
      <x:c r="K37" s="258"/>
      <x:c r="L37" s="258"/>
      <x:c r="M37" s="258"/>
      <x:c r="N37" s="258"/>
      <x:c r="O37" s="258"/>
      <x:c r="P37" s="258"/>
      <x:c r="Q37" s="258"/>
      <x:c r="R37" s="258"/>
      <x:c r="S37" s="258"/>
      <x:c r="T37" s="258"/>
      <x:c r="U37" s="258"/>
      <x:c r="V37" s="258"/>
      <x:c r="W37" s="258"/>
      <x:c r="X37" s="258"/>
      <x:c r="Y37" s="258"/>
      <x:c r="Z37" s="258"/>
    </x:row>
    <x:row r="38">
      <x:c r="A38" s="258"/>
      <x:c r="B38" s="258"/>
      <x:c r="C38" s="258"/>
      <x:c r="D38" s="258"/>
      <x:c r="E38" s="258"/>
      <x:c r="F38" s="258"/>
      <x:c r="G38" s="258"/>
      <x:c r="H38" s="258"/>
      <x:c r="I38" s="258"/>
      <x:c r="J38" s="258"/>
      <x:c r="K38" s="258"/>
      <x:c r="L38" s="258"/>
      <x:c r="M38" s="258"/>
      <x:c r="N38" s="258"/>
      <x:c r="O38" s="258"/>
      <x:c r="P38" s="258"/>
      <x:c r="Q38" s="258"/>
      <x:c r="R38" s="258"/>
      <x:c r="S38" s="258"/>
      <x:c r="T38" s="258"/>
      <x:c r="U38" s="258"/>
      <x:c r="V38" s="258"/>
      <x:c r="W38" s="258"/>
      <x:c r="X38" s="258"/>
      <x:c r="Y38" s="258"/>
      <x:c r="Z38" s="258"/>
    </x:row>
    <x:row r="39">
      <x:c r="A39" s="258"/>
      <x:c r="B39" s="258"/>
      <x:c r="C39" s="258"/>
      <x:c r="D39" s="258"/>
      <x:c r="E39" s="258"/>
      <x:c r="F39" s="258"/>
      <x:c r="G39" s="258"/>
      <x:c r="H39" s="258"/>
      <x:c r="I39" s="258"/>
      <x:c r="J39" s="258"/>
      <x:c r="K39" s="258"/>
      <x:c r="L39" s="258"/>
      <x:c r="M39" s="258"/>
      <x:c r="N39" s="258"/>
      <x:c r="O39" s="258"/>
      <x:c r="P39" s="258"/>
      <x:c r="Q39" s="258"/>
      <x:c r="R39" s="258"/>
      <x:c r="S39" s="258"/>
      <x:c r="T39" s="258"/>
      <x:c r="U39" s="258"/>
      <x:c r="V39" s="258"/>
      <x:c r="W39" s="258"/>
      <x:c r="X39" s="258"/>
      <x:c r="Y39" s="258"/>
      <x:c r="Z39" s="258"/>
    </x:row>
    <x:row r="40">
      <x:c r="A40" s="258"/>
      <x:c r="B40" s="258"/>
      <x:c r="C40" s="258"/>
      <x:c r="D40" s="258"/>
      <x:c r="E40" s="258"/>
      <x:c r="F40" s="258"/>
      <x:c r="G40" s="258"/>
      <x:c r="H40" s="258"/>
      <x:c r="I40" s="258"/>
      <x:c r="J40" s="258"/>
      <x:c r="K40" s="258"/>
      <x:c r="L40" s="258"/>
      <x:c r="M40" s="258"/>
      <x:c r="N40" s="258"/>
      <x:c r="O40" s="258"/>
      <x:c r="P40" s="258"/>
      <x:c r="Q40" s="258"/>
      <x:c r="R40" s="258"/>
      <x:c r="S40" s="258"/>
      <x:c r="T40" s="258"/>
      <x:c r="U40" s="258"/>
      <x:c r="V40" s="258"/>
      <x:c r="W40" s="258"/>
      <x:c r="X40" s="258"/>
      <x:c r="Y40" s="258"/>
      <x:c r="Z40" s="258"/>
    </x:row>
    <x:row r="41">
      <x:c r="A41" s="258"/>
      <x:c r="B41" s="258"/>
      <x:c r="C41" s="258"/>
      <x:c r="D41" s="258"/>
      <x:c r="E41" s="258"/>
      <x:c r="F41" s="258"/>
      <x:c r="G41" s="258"/>
      <x:c r="H41" s="258"/>
      <x:c r="I41" s="258"/>
      <x:c r="J41" s="258"/>
      <x:c r="K41" s="258"/>
      <x:c r="L41" s="258"/>
      <x:c r="M41" s="258"/>
      <x:c r="N41" s="258"/>
      <x:c r="O41" s="258"/>
      <x:c r="P41" s="258"/>
      <x:c r="Q41" s="258"/>
      <x:c r="R41" s="258"/>
      <x:c r="S41" s="258"/>
      <x:c r="T41" s="258"/>
      <x:c r="U41" s="258"/>
      <x:c r="V41" s="258"/>
      <x:c r="W41" s="258"/>
      <x:c r="X41" s="258"/>
      <x:c r="Y41" s="258"/>
      <x:c r="Z41" s="258"/>
    </x:row>
    <x:row r="42">
      <x:c r="A42" s="258"/>
      <x:c r="B42" s="258"/>
      <x:c r="C42" s="258"/>
      <x:c r="D42" s="258"/>
      <x:c r="E42" s="258"/>
      <x:c r="F42" s="258"/>
      <x:c r="G42" s="258"/>
      <x:c r="H42" s="258"/>
      <x:c r="I42" s="258"/>
      <x:c r="J42" s="258"/>
      <x:c r="K42" s="258"/>
      <x:c r="L42" s="258"/>
      <x:c r="M42" s="258"/>
      <x:c r="N42" s="258"/>
      <x:c r="O42" s="258"/>
      <x:c r="P42" s="258"/>
      <x:c r="Q42" s="258"/>
      <x:c r="R42" s="258"/>
      <x:c r="S42" s="258"/>
      <x:c r="T42" s="258"/>
      <x:c r="U42" s="258"/>
      <x:c r="V42" s="258"/>
      <x:c r="W42" s="258"/>
      <x:c r="X42" s="258"/>
      <x:c r="Y42" s="258"/>
      <x:c r="Z42" s="258"/>
    </x:row>
    <x:row r="43">
      <x:c r="A43" s="258"/>
      <x:c r="B43" s="258"/>
      <x:c r="C43" s="258"/>
      <x:c r="D43" s="258"/>
      <x:c r="E43" s="258"/>
      <x:c r="F43" s="258"/>
      <x:c r="G43" s="258"/>
      <x:c r="H43" s="258"/>
      <x:c r="I43" s="258"/>
      <x:c r="J43" s="258"/>
      <x:c r="K43" s="258"/>
      <x:c r="L43" s="258"/>
      <x:c r="M43" s="258"/>
      <x:c r="N43" s="258"/>
      <x:c r="O43" s="258"/>
      <x:c r="P43" s="258"/>
      <x:c r="Q43" s="258"/>
      <x:c r="R43" s="258"/>
      <x:c r="S43" s="258"/>
      <x:c r="T43" s="258"/>
      <x:c r="U43" s="258"/>
      <x:c r="V43" s="258"/>
      <x:c r="W43" s="258"/>
      <x:c r="X43" s="258"/>
      <x:c r="Y43" s="258"/>
      <x:c r="Z43" s="258"/>
    </x:row>
    <x:row r="44">
      <x:c r="A44" s="258"/>
      <x:c r="B44" s="258"/>
      <x:c r="C44" s="258"/>
      <x:c r="D44" s="258"/>
      <x:c r="E44" s="258"/>
      <x:c r="F44" s="258"/>
      <x:c r="G44" s="258"/>
      <x:c r="H44" s="258"/>
      <x:c r="I44" s="258"/>
      <x:c r="J44" s="258"/>
      <x:c r="K44" s="258"/>
      <x:c r="L44" s="258"/>
      <x:c r="M44" s="258"/>
      <x:c r="N44" s="258"/>
      <x:c r="O44" s="258"/>
      <x:c r="P44" s="258"/>
      <x:c r="Q44" s="258"/>
      <x:c r="R44" s="258"/>
      <x:c r="S44" s="258"/>
      <x:c r="T44" s="258"/>
      <x:c r="U44" s="258"/>
      <x:c r="V44" s="258"/>
      <x:c r="W44" s="258"/>
      <x:c r="X44" s="258"/>
      <x:c r="Y44" s="258"/>
      <x:c r="Z44" s="258"/>
    </x:row>
    <x:row r="45">
      <x:c r="A45" s="258"/>
      <x:c r="B45" s="258"/>
      <x:c r="C45" s="258"/>
      <x:c r="D45" s="258"/>
      <x:c r="E45" s="258"/>
      <x:c r="F45" s="258"/>
      <x:c r="G45" s="258"/>
      <x:c r="H45" s="258"/>
      <x:c r="I45" s="258"/>
      <x:c r="J45" s="258"/>
      <x:c r="K45" s="258"/>
      <x:c r="L45" s="258"/>
      <x:c r="M45" s="258"/>
      <x:c r="N45" s="258"/>
      <x:c r="O45" s="258"/>
      <x:c r="P45" s="258"/>
      <x:c r="Q45" s="258"/>
      <x:c r="R45" s="258"/>
      <x:c r="S45" s="258"/>
      <x:c r="T45" s="258"/>
      <x:c r="U45" s="258"/>
      <x:c r="V45" s="258"/>
      <x:c r="W45" s="258"/>
      <x:c r="X45" s="258"/>
      <x:c r="Y45" s="258"/>
      <x:c r="Z45" s="258"/>
    </x:row>
    <x:row r="46">
      <x:c r="A46" s="258"/>
      <x:c r="B46" s="258"/>
      <x:c r="C46" s="258"/>
      <x:c r="D46" s="258"/>
      <x:c r="E46" s="258"/>
      <x:c r="F46" s="258"/>
      <x:c r="G46" s="258"/>
      <x:c r="H46" s="258"/>
      <x:c r="I46" s="258"/>
      <x:c r="J46" s="258"/>
      <x:c r="K46" s="258"/>
      <x:c r="L46" s="258"/>
      <x:c r="M46" s="258"/>
      <x:c r="N46" s="258"/>
      <x:c r="O46" s="258"/>
      <x:c r="P46" s="258"/>
      <x:c r="Q46" s="258"/>
      <x:c r="R46" s="258"/>
      <x:c r="S46" s="258"/>
      <x:c r="T46" s="258"/>
      <x:c r="U46" s="258"/>
      <x:c r="V46" s="258"/>
      <x:c r="W46" s="258"/>
      <x:c r="X46" s="258"/>
      <x:c r="Y46" s="258"/>
      <x:c r="Z46" s="258"/>
    </x:row>
    <x:row r="47">
      <x:c r="A47" s="258"/>
      <x:c r="B47" s="258"/>
      <x:c r="C47" s="258"/>
      <x:c r="D47" s="258"/>
      <x:c r="E47" s="258"/>
      <x:c r="F47" s="258"/>
      <x:c r="G47" s="258"/>
      <x:c r="H47" s="258"/>
      <x:c r="I47" s="258"/>
      <x:c r="J47" s="258"/>
      <x:c r="K47" s="258"/>
      <x:c r="L47" s="258"/>
      <x:c r="M47" s="258"/>
      <x:c r="N47" s="258"/>
      <x:c r="O47" s="258"/>
      <x:c r="P47" s="258"/>
      <x:c r="Q47" s="258"/>
      <x:c r="R47" s="258"/>
      <x:c r="S47" s="258"/>
      <x:c r="T47" s="258"/>
      <x:c r="U47" s="258"/>
      <x:c r="V47" s="258"/>
      <x:c r="W47" s="258"/>
      <x:c r="X47" s="258"/>
      <x:c r="Y47" s="258"/>
      <x:c r="Z47" s="258"/>
    </x:row>
    <x:row r="48">
      <x:c r="A48" s="258"/>
      <x:c r="B48" s="258"/>
      <x:c r="C48" s="258"/>
      <x:c r="D48" s="258"/>
      <x:c r="E48" s="258"/>
      <x:c r="F48" s="258"/>
      <x:c r="G48" s="258"/>
      <x:c r="H48" s="258"/>
      <x:c r="I48" s="258"/>
      <x:c r="J48" s="258"/>
      <x:c r="K48" s="258"/>
      <x:c r="L48" s="258"/>
      <x:c r="M48" s="258"/>
      <x:c r="N48" s="258"/>
      <x:c r="O48" s="258"/>
      <x:c r="P48" s="258"/>
      <x:c r="Q48" s="258"/>
      <x:c r="R48" s="258"/>
      <x:c r="S48" s="258"/>
      <x:c r="T48" s="258"/>
      <x:c r="U48" s="258"/>
      <x:c r="V48" s="258"/>
      <x:c r="W48" s="258"/>
      <x:c r="X48" s="258"/>
      <x:c r="Y48" s="258"/>
      <x:c r="Z48" s="258"/>
    </x:row>
    <x:row r="49">
      <x:c r="A49" s="258"/>
      <x:c r="B49" s="258"/>
      <x:c r="C49" s="258"/>
      <x:c r="D49" s="258"/>
      <x:c r="E49" s="258"/>
      <x:c r="F49" s="258"/>
      <x:c r="G49" s="258"/>
      <x:c r="H49" s="258"/>
      <x:c r="I49" s="258"/>
      <x:c r="J49" s="258"/>
      <x:c r="K49" s="258"/>
      <x:c r="L49" s="258"/>
      <x:c r="M49" s="258"/>
      <x:c r="N49" s="258"/>
      <x:c r="O49" s="258"/>
      <x:c r="P49" s="258"/>
      <x:c r="Q49" s="258"/>
      <x:c r="R49" s="258"/>
      <x:c r="S49" s="258"/>
      <x:c r="T49" s="258"/>
      <x:c r="U49" s="258"/>
      <x:c r="V49" s="258"/>
      <x:c r="W49" s="258"/>
      <x:c r="X49" s="258"/>
      <x:c r="Y49" s="258"/>
      <x:c r="Z49" s="258"/>
    </x:row>
    <x:row r="50">
      <x:c r="A50" s="258"/>
      <x:c r="B50" s="258"/>
      <x:c r="C50" s="258"/>
      <x:c r="D50" s="258"/>
      <x:c r="E50" s="258"/>
      <x:c r="F50" s="258"/>
      <x:c r="G50" s="258"/>
      <x:c r="H50" s="258"/>
      <x:c r="I50" s="258"/>
      <x:c r="J50" s="258"/>
      <x:c r="K50" s="258"/>
      <x:c r="L50" s="258"/>
      <x:c r="M50" s="258"/>
      <x:c r="N50" s="258"/>
      <x:c r="O50" s="258"/>
      <x:c r="P50" s="258"/>
      <x:c r="Q50" s="258"/>
      <x:c r="R50" s="258"/>
      <x:c r="S50" s="258"/>
      <x:c r="T50" s="258"/>
      <x:c r="U50" s="258"/>
      <x:c r="V50" s="258"/>
      <x:c r="W50" s="258"/>
      <x:c r="X50" s="258"/>
      <x:c r="Y50" s="258"/>
      <x:c r="Z50" s="258"/>
    </x:row>
    <x:row r="51">
      <x:c r="A51" s="258"/>
      <x:c r="B51" s="258"/>
      <x:c r="C51" s="258"/>
      <x:c r="D51" s="258"/>
      <x:c r="E51" s="258"/>
      <x:c r="F51" s="258"/>
      <x:c r="G51" s="258"/>
      <x:c r="H51" s="258"/>
      <x:c r="I51" s="258"/>
      <x:c r="J51" s="258"/>
      <x:c r="K51" s="258"/>
      <x:c r="L51" s="258"/>
      <x:c r="M51" s="258"/>
      <x:c r="N51" s="258"/>
      <x:c r="O51" s="258"/>
      <x:c r="P51" s="258"/>
      <x:c r="Q51" s="258"/>
      <x:c r="R51" s="258"/>
      <x:c r="S51" s="258"/>
      <x:c r="T51" s="258"/>
      <x:c r="U51" s="258"/>
      <x:c r="V51" s="258"/>
      <x:c r="W51" s="258"/>
      <x:c r="X51" s="258"/>
      <x:c r="Y51" s="258"/>
      <x:c r="Z51" s="258"/>
    </x:row>
    <x:row r="52">
      <x:c r="A52" s="258"/>
      <x:c r="B52" s="258"/>
      <x:c r="C52" s="258"/>
      <x:c r="D52" s="258"/>
      <x:c r="E52" s="258"/>
      <x:c r="F52" s="258"/>
      <x:c r="G52" s="258"/>
      <x:c r="H52" s="258"/>
      <x:c r="I52" s="258"/>
      <x:c r="J52" s="258"/>
      <x:c r="K52" s="258"/>
      <x:c r="L52" s="258"/>
      <x:c r="M52" s="258"/>
      <x:c r="N52" s="258"/>
      <x:c r="O52" s="258"/>
      <x:c r="P52" s="258"/>
      <x:c r="Q52" s="258"/>
      <x:c r="R52" s="258"/>
      <x:c r="S52" s="258"/>
      <x:c r="T52" s="258"/>
      <x:c r="U52" s="258"/>
      <x:c r="V52" s="258"/>
      <x:c r="W52" s="258"/>
      <x:c r="X52" s="258"/>
      <x:c r="Y52" s="258"/>
      <x:c r="Z52" s="258"/>
    </x:row>
    <x:row r="53">
      <x:c r="A53" s="258"/>
      <x:c r="B53" s="258"/>
      <x:c r="C53" s="258"/>
      <x:c r="D53" s="258"/>
      <x:c r="E53" s="258"/>
      <x:c r="F53" s="258"/>
      <x:c r="G53" s="258"/>
      <x:c r="H53" s="258"/>
      <x:c r="I53" s="258"/>
      <x:c r="J53" s="258"/>
      <x:c r="K53" s="258"/>
      <x:c r="L53" s="258"/>
      <x:c r="M53" s="258"/>
      <x:c r="N53" s="258"/>
      <x:c r="O53" s="258"/>
      <x:c r="P53" s="258"/>
      <x:c r="Q53" s="258"/>
      <x:c r="R53" s="258"/>
      <x:c r="S53" s="258"/>
      <x:c r="T53" s="258"/>
      <x:c r="U53" s="258"/>
      <x:c r="V53" s="258"/>
      <x:c r="W53" s="258"/>
      <x:c r="X53" s="258"/>
      <x:c r="Y53" s="258"/>
      <x:c r="Z53" s="258"/>
    </x:row>
    <x:row r="54">
      <x:c r="A54" s="258"/>
      <x:c r="B54" s="258"/>
      <x:c r="C54" s="258"/>
      <x:c r="D54" s="258"/>
      <x:c r="E54" s="258"/>
      <x:c r="F54" s="258"/>
      <x:c r="G54" s="258"/>
      <x:c r="H54" s="258"/>
      <x:c r="I54" s="258"/>
      <x:c r="J54" s="258"/>
      <x:c r="K54" s="258"/>
      <x:c r="L54" s="258"/>
      <x:c r="M54" s="258"/>
      <x:c r="N54" s="258"/>
      <x:c r="O54" s="258"/>
      <x:c r="P54" s="258"/>
      <x:c r="Q54" s="258"/>
      <x:c r="R54" s="258"/>
      <x:c r="S54" s="258"/>
      <x:c r="T54" s="258"/>
      <x:c r="U54" s="258"/>
      <x:c r="V54" s="258"/>
      <x:c r="W54" s="258"/>
      <x:c r="X54" s="258"/>
      <x:c r="Y54" s="258"/>
      <x:c r="Z54" s="258"/>
    </x:row>
    <x:row r="55">
      <x:c r="A55" s="258"/>
      <x:c r="B55" s="258"/>
      <x:c r="C55" s="258"/>
      <x:c r="D55" s="258"/>
      <x:c r="E55" s="258"/>
      <x:c r="F55" s="258"/>
      <x:c r="G55" s="258"/>
      <x:c r="H55" s="258"/>
      <x:c r="I55" s="258"/>
      <x:c r="J55" s="258"/>
      <x:c r="K55" s="258"/>
      <x:c r="L55" s="258"/>
      <x:c r="M55" s="258"/>
      <x:c r="N55" s="258"/>
      <x:c r="O55" s="258"/>
      <x:c r="P55" s="258"/>
      <x:c r="Q55" s="258"/>
      <x:c r="R55" s="258"/>
      <x:c r="S55" s="258"/>
      <x:c r="T55" s="258"/>
      <x:c r="U55" s="258"/>
      <x:c r="V55" s="258"/>
      <x:c r="W55" s="258"/>
      <x:c r="X55" s="258"/>
      <x:c r="Y55" s="258"/>
      <x:c r="Z55" s="258"/>
    </x:row>
    <x:row r="56">
      <x:c r="A56" s="258"/>
      <x:c r="B56" s="258"/>
      <x:c r="C56" s="258"/>
      <x:c r="D56" s="258"/>
      <x:c r="E56" s="258"/>
      <x:c r="F56" s="258"/>
      <x:c r="G56" s="258"/>
      <x:c r="H56" s="258"/>
      <x:c r="I56" s="258"/>
      <x:c r="J56" s="258"/>
      <x:c r="K56" s="258"/>
      <x:c r="L56" s="258"/>
      <x:c r="M56" s="258"/>
      <x:c r="N56" s="258"/>
      <x:c r="O56" s="258"/>
      <x:c r="P56" s="258"/>
      <x:c r="Q56" s="258"/>
      <x:c r="R56" s="258"/>
      <x:c r="S56" s="258"/>
      <x:c r="T56" s="258"/>
      <x:c r="U56" s="258"/>
      <x:c r="V56" s="258"/>
      <x:c r="W56" s="258"/>
      <x:c r="X56" s="258"/>
      <x:c r="Y56" s="258"/>
      <x:c r="Z56" s="258"/>
    </x:row>
    <x:row r="57">
      <x:c r="A57" s="258"/>
      <x:c r="B57" s="258"/>
      <x:c r="C57" s="258"/>
      <x:c r="D57" s="258"/>
      <x:c r="E57" s="258"/>
      <x:c r="F57" s="258"/>
      <x:c r="G57" s="258"/>
      <x:c r="H57" s="258"/>
      <x:c r="I57" s="258"/>
      <x:c r="J57" s="258"/>
      <x:c r="K57" s="258"/>
      <x:c r="L57" s="258"/>
      <x:c r="M57" s="258"/>
      <x:c r="N57" s="258"/>
      <x:c r="O57" s="258"/>
      <x:c r="P57" s="258"/>
      <x:c r="Q57" s="258"/>
      <x:c r="R57" s="258"/>
      <x:c r="S57" s="258"/>
      <x:c r="T57" s="258"/>
      <x:c r="U57" s="258"/>
      <x:c r="V57" s="258"/>
      <x:c r="W57" s="258"/>
      <x:c r="X57" s="258"/>
      <x:c r="Y57" s="258"/>
      <x:c r="Z57" s="258"/>
    </x:row>
    <x:row r="58">
      <x:c r="A58" s="258"/>
      <x:c r="B58" s="258"/>
      <x:c r="C58" s="258"/>
      <x:c r="D58" s="258"/>
      <x:c r="E58" s="258"/>
      <x:c r="F58" s="258"/>
      <x:c r="G58" s="258"/>
      <x:c r="H58" s="258"/>
      <x:c r="I58" s="258"/>
      <x:c r="J58" s="258"/>
      <x:c r="K58" s="258"/>
      <x:c r="L58" s="258"/>
      <x:c r="M58" s="258"/>
      <x:c r="N58" s="258"/>
      <x:c r="O58" s="258"/>
      <x:c r="P58" s="258"/>
      <x:c r="Q58" s="258"/>
      <x:c r="R58" s="258"/>
      <x:c r="S58" s="258"/>
      <x:c r="T58" s="258"/>
      <x:c r="U58" s="258"/>
      <x:c r="V58" s="258"/>
      <x:c r="W58" s="258"/>
      <x:c r="X58" s="258"/>
      <x:c r="Y58" s="258"/>
      <x:c r="Z58" s="258"/>
    </x:row>
    <x:row r="59">
      <x:c r="A59" s="258"/>
      <x:c r="B59" s="258"/>
      <x:c r="C59" s="258"/>
      <x:c r="D59" s="258"/>
      <x:c r="E59" s="258"/>
      <x:c r="F59" s="258"/>
      <x:c r="G59" s="258"/>
      <x:c r="H59" s="258"/>
      <x:c r="I59" s="258"/>
      <x:c r="J59" s="258"/>
      <x:c r="K59" s="258"/>
      <x:c r="L59" s="258"/>
      <x:c r="M59" s="258"/>
      <x:c r="N59" s="258"/>
      <x:c r="O59" s="258"/>
      <x:c r="P59" s="258"/>
      <x:c r="Q59" s="258"/>
      <x:c r="R59" s="258"/>
      <x:c r="S59" s="258"/>
      <x:c r="T59" s="258"/>
      <x:c r="U59" s="258"/>
      <x:c r="V59" s="258"/>
      <x:c r="W59" s="258"/>
      <x:c r="X59" s="258"/>
      <x:c r="Y59" s="258"/>
      <x:c r="Z59" s="258"/>
    </x:row>
    <x:row r="60">
      <x:c r="A60" s="258"/>
      <x:c r="B60" s="258"/>
      <x:c r="C60" s="258"/>
      <x:c r="D60" s="258"/>
      <x:c r="E60" s="258"/>
      <x:c r="F60" s="258"/>
      <x:c r="G60" s="258"/>
      <x:c r="H60" s="258"/>
      <x:c r="I60" s="258"/>
      <x:c r="J60" s="258"/>
      <x:c r="K60" s="258"/>
      <x:c r="L60" s="258"/>
      <x:c r="M60" s="258"/>
      <x:c r="N60" s="258"/>
      <x:c r="O60" s="258"/>
      <x:c r="P60" s="258"/>
      <x:c r="Q60" s="258"/>
      <x:c r="R60" s="258"/>
      <x:c r="S60" s="258"/>
      <x:c r="T60" s="258"/>
      <x:c r="U60" s="258"/>
      <x:c r="V60" s="258"/>
      <x:c r="W60" s="258"/>
      <x:c r="X60" s="258"/>
      <x:c r="Y60" s="258"/>
      <x:c r="Z60" s="258"/>
    </x:row>
    <x:row r="61">
      <x:c r="A61" s="258"/>
      <x:c r="B61" s="258"/>
      <x:c r="C61" s="258"/>
      <x:c r="D61" s="258"/>
      <x:c r="E61" s="258"/>
      <x:c r="F61" s="258"/>
      <x:c r="G61" s="258"/>
      <x:c r="H61" s="258"/>
      <x:c r="I61" s="258"/>
      <x:c r="J61" s="258"/>
      <x:c r="K61" s="258"/>
      <x:c r="L61" s="258"/>
      <x:c r="M61" s="258"/>
      <x:c r="N61" s="258"/>
      <x:c r="O61" s="258"/>
      <x:c r="P61" s="258"/>
      <x:c r="Q61" s="258"/>
      <x:c r="R61" s="258"/>
      <x:c r="S61" s="258"/>
      <x:c r="T61" s="258"/>
      <x:c r="U61" s="258"/>
      <x:c r="V61" s="258"/>
      <x:c r="W61" s="258"/>
      <x:c r="X61" s="258"/>
      <x:c r="Y61" s="258"/>
      <x:c r="Z61" s="258"/>
    </x:row>
    <x:row r="62">
      <x:c r="A62" s="258"/>
      <x:c r="B62" s="258"/>
      <x:c r="C62" s="258"/>
      <x:c r="D62" s="258"/>
      <x:c r="E62" s="258"/>
      <x:c r="F62" s="258"/>
      <x:c r="G62" s="258"/>
      <x:c r="H62" s="258"/>
      <x:c r="I62" s="258"/>
      <x:c r="J62" s="258"/>
      <x:c r="K62" s="258"/>
      <x:c r="L62" s="258"/>
      <x:c r="M62" s="258"/>
      <x:c r="N62" s="258"/>
      <x:c r="O62" s="258"/>
      <x:c r="P62" s="258"/>
      <x:c r="Q62" s="258"/>
      <x:c r="R62" s="258"/>
      <x:c r="S62" s="258"/>
      <x:c r="T62" s="258"/>
      <x:c r="U62" s="258"/>
      <x:c r="V62" s="258"/>
      <x:c r="W62" s="258"/>
      <x:c r="X62" s="258"/>
      <x:c r="Y62" s="258"/>
      <x:c r="Z62" s="258"/>
    </x:row>
    <x:row r="63">
      <x:c r="A63" s="258"/>
      <x:c r="B63" s="258"/>
      <x:c r="C63" s="258"/>
      <x:c r="D63" s="258"/>
      <x:c r="E63" s="258"/>
      <x:c r="F63" s="258"/>
      <x:c r="G63" s="258"/>
      <x:c r="H63" s="258"/>
      <x:c r="I63" s="258"/>
      <x:c r="J63" s="258"/>
      <x:c r="K63" s="258"/>
      <x:c r="L63" s="258"/>
      <x:c r="M63" s="258"/>
      <x:c r="N63" s="258"/>
      <x:c r="O63" s="258"/>
      <x:c r="P63" s="258"/>
      <x:c r="Q63" s="258"/>
      <x:c r="R63" s="258"/>
      <x:c r="S63" s="258"/>
      <x:c r="T63" s="258"/>
      <x:c r="U63" s="258"/>
      <x:c r="V63" s="258"/>
      <x:c r="W63" s="258"/>
      <x:c r="X63" s="258"/>
      <x:c r="Y63" s="258"/>
      <x:c r="Z63" s="258"/>
    </x:row>
    <x:row r="64">
      <x:c r="A64" s="258"/>
      <x:c r="B64" s="258"/>
      <x:c r="C64" s="258"/>
      <x:c r="D64" s="258"/>
      <x:c r="E64" s="258"/>
      <x:c r="F64" s="258"/>
      <x:c r="G64" s="258"/>
      <x:c r="H64" s="258"/>
      <x:c r="I64" s="258"/>
      <x:c r="J64" s="258"/>
      <x:c r="K64" s="258"/>
      <x:c r="L64" s="258"/>
      <x:c r="M64" s="258"/>
      <x:c r="N64" s="258"/>
      <x:c r="O64" s="258"/>
      <x:c r="P64" s="258"/>
      <x:c r="Q64" s="258"/>
      <x:c r="R64" s="258"/>
      <x:c r="S64" s="258"/>
      <x:c r="T64" s="258"/>
      <x:c r="U64" s="258"/>
      <x:c r="V64" s="258"/>
      <x:c r="W64" s="258"/>
      <x:c r="X64" s="258"/>
      <x:c r="Y64" s="258"/>
      <x:c r="Z64" s="258"/>
    </x:row>
    <x:row r="65">
      <x:c r="A65" s="258"/>
      <x:c r="B65" s="258"/>
      <x:c r="C65" s="258"/>
      <x:c r="D65" s="258"/>
      <x:c r="E65" s="258"/>
      <x:c r="F65" s="258"/>
      <x:c r="G65" s="258"/>
      <x:c r="H65" s="258"/>
      <x:c r="I65" s="258"/>
      <x:c r="J65" s="258"/>
      <x:c r="K65" s="258"/>
      <x:c r="L65" s="258"/>
      <x:c r="M65" s="258"/>
      <x:c r="N65" s="258"/>
      <x:c r="O65" s="258"/>
      <x:c r="P65" s="258"/>
      <x:c r="Q65" s="258"/>
      <x:c r="R65" s="258"/>
      <x:c r="S65" s="258"/>
      <x:c r="T65" s="258"/>
      <x:c r="U65" s="258"/>
      <x:c r="V65" s="258"/>
      <x:c r="W65" s="258"/>
      <x:c r="X65" s="258"/>
      <x:c r="Y65" s="258"/>
      <x:c r="Z65" s="258"/>
    </x:row>
    <x:row r="66">
      <x:c r="A66" s="258"/>
      <x:c r="B66" s="258"/>
      <x:c r="C66" s="258"/>
      <x:c r="D66" s="258"/>
      <x:c r="E66" s="258"/>
      <x:c r="F66" s="258"/>
      <x:c r="G66" s="258"/>
      <x:c r="H66" s="258"/>
      <x:c r="I66" s="258"/>
      <x:c r="J66" s="258"/>
      <x:c r="K66" s="258"/>
      <x:c r="L66" s="258"/>
      <x:c r="M66" s="258"/>
      <x:c r="N66" s="258"/>
      <x:c r="O66" s="258"/>
      <x:c r="P66" s="258"/>
      <x:c r="Q66" s="258"/>
      <x:c r="R66" s="258"/>
      <x:c r="S66" s="258"/>
      <x:c r="T66" s="258"/>
      <x:c r="U66" s="258"/>
      <x:c r="V66" s="258"/>
      <x:c r="W66" s="258"/>
      <x:c r="X66" s="258"/>
      <x:c r="Y66" s="258"/>
      <x:c r="Z66" s="258"/>
    </x:row>
    <x:row r="67">
      <x:c r="A67" s="258"/>
      <x:c r="B67" s="258"/>
      <x:c r="C67" s="258"/>
      <x:c r="D67" s="258"/>
      <x:c r="E67" s="258"/>
      <x:c r="F67" s="258"/>
      <x:c r="G67" s="258"/>
      <x:c r="H67" s="258"/>
      <x:c r="I67" s="258"/>
      <x:c r="J67" s="258"/>
      <x:c r="K67" s="258"/>
      <x:c r="L67" s="258"/>
      <x:c r="M67" s="258"/>
      <x:c r="N67" s="258"/>
      <x:c r="O67" s="258"/>
      <x:c r="P67" s="258"/>
      <x:c r="Q67" s="258"/>
      <x:c r="R67" s="258"/>
      <x:c r="S67" s="258"/>
      <x:c r="T67" s="258"/>
      <x:c r="U67" s="258"/>
      <x:c r="V67" s="258"/>
      <x:c r="W67" s="258"/>
      <x:c r="X67" s="258"/>
      <x:c r="Y67" s="258"/>
      <x:c r="Z67" s="258"/>
    </x:row>
    <x:row r="68">
      <x:c r="A68" s="258"/>
      <x:c r="B68" s="258"/>
      <x:c r="C68" s="258"/>
      <x:c r="D68" s="258"/>
      <x:c r="E68" s="258"/>
      <x:c r="F68" s="258"/>
      <x:c r="G68" s="258"/>
      <x:c r="H68" s="258"/>
      <x:c r="I68" s="258"/>
      <x:c r="J68" s="258"/>
      <x:c r="K68" s="258"/>
      <x:c r="L68" s="258"/>
      <x:c r="M68" s="258"/>
      <x:c r="N68" s="258"/>
      <x:c r="O68" s="258"/>
      <x:c r="P68" s="258"/>
      <x:c r="Q68" s="258"/>
      <x:c r="R68" s="258"/>
      <x:c r="S68" s="258"/>
      <x:c r="T68" s="258"/>
      <x:c r="U68" s="258"/>
      <x:c r="V68" s="258"/>
      <x:c r="W68" s="258"/>
      <x:c r="X68" s="258"/>
      <x:c r="Y68" s="258"/>
      <x:c r="Z68" s="258"/>
    </x:row>
    <x:row r="69">
      <x:c r="A69" s="258"/>
      <x:c r="B69" s="258"/>
      <x:c r="C69" s="258"/>
      <x:c r="D69" s="258"/>
      <x:c r="E69" s="258"/>
      <x:c r="F69" s="258"/>
      <x:c r="G69" s="258"/>
      <x:c r="H69" s="258"/>
      <x:c r="I69" s="258"/>
      <x:c r="J69" s="258"/>
      <x:c r="K69" s="258"/>
      <x:c r="L69" s="258"/>
      <x:c r="M69" s="258"/>
      <x:c r="N69" s="258"/>
      <x:c r="O69" s="258"/>
      <x:c r="P69" s="258"/>
      <x:c r="Q69" s="258"/>
      <x:c r="R69" s="258"/>
      <x:c r="S69" s="258"/>
      <x:c r="T69" s="258"/>
      <x:c r="U69" s="258"/>
      <x:c r="V69" s="258"/>
      <x:c r="W69" s="258"/>
      <x:c r="X69" s="258"/>
      <x:c r="Y69" s="258"/>
      <x:c r="Z69" s="258"/>
    </x:row>
    <x:row r="70">
      <x:c r="A70" s="258"/>
      <x:c r="B70" s="258"/>
      <x:c r="C70" s="258"/>
      <x:c r="D70" s="258"/>
      <x:c r="E70" s="258"/>
      <x:c r="F70" s="258"/>
      <x:c r="G70" s="258"/>
      <x:c r="H70" s="258"/>
      <x:c r="I70" s="258"/>
      <x:c r="J70" s="258"/>
      <x:c r="K70" s="258"/>
      <x:c r="L70" s="258"/>
      <x:c r="M70" s="258"/>
      <x:c r="N70" s="258"/>
      <x:c r="O70" s="258"/>
      <x:c r="P70" s="258"/>
      <x:c r="Q70" s="258"/>
      <x:c r="R70" s="258"/>
      <x:c r="S70" s="258"/>
      <x:c r="T70" s="258"/>
      <x:c r="U70" s="258"/>
      <x:c r="V70" s="258"/>
      <x:c r="W70" s="258"/>
      <x:c r="X70" s="258"/>
      <x:c r="Y70" s="258"/>
      <x:c r="Z70" s="258"/>
    </x:row>
    <x:row r="71">
      <x:c r="A71" s="258"/>
      <x:c r="B71" s="258"/>
      <x:c r="C71" s="258"/>
      <x:c r="D71" s="258"/>
      <x:c r="E71" s="258"/>
      <x:c r="F71" s="258"/>
      <x:c r="G71" s="258"/>
      <x:c r="H71" s="258"/>
      <x:c r="I71" s="258"/>
      <x:c r="J71" s="258"/>
      <x:c r="K71" s="258"/>
      <x:c r="L71" s="258"/>
      <x:c r="M71" s="258"/>
      <x:c r="N71" s="258"/>
      <x:c r="O71" s="258"/>
      <x:c r="P71" s="258"/>
      <x:c r="Q71" s="258"/>
      <x:c r="R71" s="258"/>
      <x:c r="S71" s="258"/>
      <x:c r="T71" s="258"/>
      <x:c r="U71" s="258"/>
      <x:c r="V71" s="258"/>
      <x:c r="W71" s="258"/>
      <x:c r="X71" s="258"/>
      <x:c r="Y71" s="258"/>
      <x:c r="Z71" s="258"/>
    </x:row>
    <x:row r="72">
      <x:c r="A72" s="258"/>
      <x:c r="B72" s="258"/>
      <x:c r="C72" s="258"/>
      <x:c r="D72" s="258"/>
      <x:c r="E72" s="258"/>
      <x:c r="F72" s="258"/>
      <x:c r="G72" s="258"/>
      <x:c r="H72" s="258"/>
      <x:c r="I72" s="258"/>
      <x:c r="J72" s="258"/>
      <x:c r="K72" s="258"/>
      <x:c r="L72" s="258"/>
      <x:c r="M72" s="258"/>
      <x:c r="N72" s="258"/>
      <x:c r="O72" s="258"/>
      <x:c r="P72" s="258"/>
      <x:c r="Q72" s="258"/>
      <x:c r="R72" s="258"/>
      <x:c r="S72" s="258"/>
      <x:c r="T72" s="258"/>
      <x:c r="U72" s="258"/>
      <x:c r="V72" s="258"/>
      <x:c r="W72" s="258"/>
      <x:c r="X72" s="258"/>
      <x:c r="Y72" s="258"/>
      <x:c r="Z72" s="258"/>
    </x:row>
    <x:row r="73">
      <x:c r="A73" s="258"/>
      <x:c r="B73" s="258"/>
      <x:c r="C73" s="258"/>
      <x:c r="D73" s="258"/>
      <x:c r="E73" s="258"/>
      <x:c r="F73" s="258"/>
      <x:c r="G73" s="258"/>
      <x:c r="H73" s="258"/>
      <x:c r="I73" s="258"/>
      <x:c r="J73" s="258"/>
      <x:c r="K73" s="258"/>
      <x:c r="L73" s="258"/>
      <x:c r="M73" s="258"/>
      <x:c r="N73" s="258"/>
      <x:c r="O73" s="258"/>
      <x:c r="P73" s="258"/>
      <x:c r="Q73" s="258"/>
      <x:c r="R73" s="258"/>
      <x:c r="S73" s="258"/>
      <x:c r="T73" s="258"/>
      <x:c r="U73" s="258"/>
      <x:c r="V73" s="258"/>
      <x:c r="W73" s="258"/>
      <x:c r="X73" s="258"/>
      <x:c r="Y73" s="258"/>
      <x:c r="Z73" s="258"/>
    </x:row>
    <x:row r="74">
      <x:c r="A74" s="258"/>
      <x:c r="B74" s="258"/>
      <x:c r="C74" s="258"/>
      <x:c r="D74" s="258"/>
      <x:c r="E74" s="258"/>
      <x:c r="F74" s="258"/>
      <x:c r="G74" s="258"/>
      <x:c r="H74" s="258"/>
      <x:c r="I74" s="258"/>
      <x:c r="J74" s="258"/>
      <x:c r="K74" s="258"/>
      <x:c r="L74" s="258"/>
      <x:c r="M74" s="258"/>
      <x:c r="N74" s="258"/>
      <x:c r="O74" s="258"/>
      <x:c r="P74" s="258"/>
      <x:c r="Q74" s="258"/>
      <x:c r="R74" s="258"/>
      <x:c r="S74" s="258"/>
      <x:c r="T74" s="258"/>
      <x:c r="U74" s="258"/>
      <x:c r="V74" s="258"/>
      <x:c r="W74" s="258"/>
      <x:c r="X74" s="258"/>
      <x:c r="Y74" s="258"/>
      <x:c r="Z74" s="258"/>
    </x:row>
    <x:row r="75">
      <x:c r="A75" s="258"/>
      <x:c r="B75" s="258"/>
      <x:c r="C75" s="258"/>
      <x:c r="D75" s="258"/>
      <x:c r="E75" s="258"/>
      <x:c r="F75" s="258"/>
      <x:c r="G75" s="258"/>
      <x:c r="H75" s="258"/>
      <x:c r="I75" s="258"/>
      <x:c r="J75" s="258"/>
      <x:c r="K75" s="258"/>
      <x:c r="L75" s="258"/>
      <x:c r="M75" s="258"/>
      <x:c r="N75" s="258"/>
      <x:c r="O75" s="258"/>
      <x:c r="P75" s="258"/>
      <x:c r="Q75" s="258"/>
      <x:c r="R75" s="258"/>
      <x:c r="S75" s="258"/>
      <x:c r="T75" s="258"/>
      <x:c r="U75" s="258"/>
      <x:c r="V75" s="258"/>
      <x:c r="W75" s="258"/>
      <x:c r="X75" s="258"/>
      <x:c r="Y75" s="258"/>
      <x:c r="Z75" s="258"/>
    </x:row>
    <x:row r="76">
      <x:c r="A76" s="258"/>
      <x:c r="B76" s="258"/>
      <x:c r="C76" s="258"/>
      <x:c r="D76" s="258"/>
      <x:c r="E76" s="258"/>
      <x:c r="F76" s="258"/>
      <x:c r="G76" s="258"/>
      <x:c r="H76" s="258"/>
      <x:c r="I76" s="258"/>
      <x:c r="J76" s="258"/>
      <x:c r="K76" s="258"/>
      <x:c r="L76" s="258"/>
      <x:c r="M76" s="258"/>
      <x:c r="N76" s="258"/>
      <x:c r="O76" s="258"/>
      <x:c r="P76" s="258"/>
      <x:c r="Q76" s="258"/>
      <x:c r="R76" s="258"/>
      <x:c r="S76" s="258"/>
      <x:c r="T76" s="258"/>
      <x:c r="U76" s="258"/>
      <x:c r="V76" s="258"/>
      <x:c r="W76" s="258"/>
      <x:c r="X76" s="258"/>
      <x:c r="Y76" s="258"/>
      <x:c r="Z76" s="258"/>
    </x:row>
    <x:row r="77">
      <x:c r="A77" s="258"/>
      <x:c r="B77" s="258"/>
      <x:c r="C77" s="258"/>
      <x:c r="D77" s="258"/>
      <x:c r="E77" s="258"/>
      <x:c r="F77" s="258"/>
      <x:c r="G77" s="258"/>
      <x:c r="H77" s="258"/>
      <x:c r="I77" s="258"/>
      <x:c r="J77" s="258"/>
      <x:c r="K77" s="258"/>
      <x:c r="L77" s="258"/>
      <x:c r="M77" s="258"/>
      <x:c r="N77" s="258"/>
      <x:c r="O77" s="258"/>
      <x:c r="P77" s="258"/>
      <x:c r="Q77" s="258"/>
      <x:c r="R77" s="258"/>
      <x:c r="S77" s="258"/>
      <x:c r="T77" s="258"/>
      <x:c r="U77" s="258"/>
      <x:c r="V77" s="258"/>
      <x:c r="W77" s="258"/>
      <x:c r="X77" s="258"/>
      <x:c r="Y77" s="258"/>
      <x:c r="Z77" s="258"/>
    </x:row>
    <x:row r="78">
      <x:c r="A78" s="258"/>
      <x:c r="B78" s="258"/>
      <x:c r="C78" s="258"/>
      <x:c r="D78" s="258"/>
      <x:c r="E78" s="258"/>
      <x:c r="F78" s="258"/>
      <x:c r="G78" s="258"/>
      <x:c r="H78" s="258"/>
      <x:c r="I78" s="258"/>
      <x:c r="J78" s="258"/>
      <x:c r="K78" s="258"/>
      <x:c r="L78" s="258"/>
      <x:c r="M78" s="258"/>
      <x:c r="N78" s="258"/>
      <x:c r="O78" s="258"/>
      <x:c r="P78" s="258"/>
      <x:c r="Q78" s="258"/>
      <x:c r="R78" s="258"/>
      <x:c r="S78" s="258"/>
      <x:c r="T78" s="258"/>
      <x:c r="U78" s="258"/>
      <x:c r="V78" s="258"/>
      <x:c r="W78" s="258"/>
      <x:c r="X78" s="258"/>
      <x:c r="Y78" s="258"/>
      <x:c r="Z78" s="258"/>
    </x:row>
    <x:row r="79">
      <x:c r="A79" s="258"/>
      <x:c r="B79" s="258"/>
      <x:c r="C79" s="258"/>
      <x:c r="D79" s="258"/>
      <x:c r="E79" s="258"/>
      <x:c r="F79" s="258"/>
      <x:c r="G79" s="258"/>
      <x:c r="H79" s="258"/>
      <x:c r="I79" s="258"/>
      <x:c r="J79" s="258"/>
      <x:c r="K79" s="258"/>
      <x:c r="L79" s="258"/>
      <x:c r="M79" s="258"/>
      <x:c r="N79" s="258"/>
      <x:c r="O79" s="258"/>
      <x:c r="P79" s="258"/>
      <x:c r="Q79" s="258"/>
      <x:c r="R79" s="258"/>
      <x:c r="S79" s="258"/>
      <x:c r="T79" s="258"/>
      <x:c r="U79" s="258"/>
      <x:c r="V79" s="258"/>
      <x:c r="W79" s="258"/>
      <x:c r="X79" s="258"/>
      <x:c r="Y79" s="258"/>
      <x:c r="Z79" s="258"/>
    </x:row>
    <x:row r="80">
      <x:c r="A80" s="258"/>
      <x:c r="B80" s="258"/>
      <x:c r="C80" s="258"/>
      <x:c r="D80" s="258"/>
      <x:c r="E80" s="258"/>
      <x:c r="F80" s="258"/>
      <x:c r="G80" s="258"/>
      <x:c r="H80" s="258"/>
      <x:c r="I80" s="258"/>
      <x:c r="J80" s="258"/>
      <x:c r="K80" s="258"/>
      <x:c r="L80" s="258"/>
      <x:c r="M80" s="258"/>
      <x:c r="N80" s="258"/>
      <x:c r="O80" s="258"/>
      <x:c r="P80" s="258"/>
      <x:c r="Q80" s="258"/>
      <x:c r="R80" s="258"/>
      <x:c r="S80" s="258"/>
      <x:c r="T80" s="258"/>
      <x:c r="U80" s="258"/>
      <x:c r="V80" s="258"/>
      <x:c r="W80" s="258"/>
      <x:c r="X80" s="258"/>
      <x:c r="Y80" s="258"/>
      <x:c r="Z80" s="258"/>
    </x:row>
    <x:row r="81">
      <x:c r="A81" s="258"/>
      <x:c r="B81" s="258"/>
      <x:c r="C81" s="258"/>
      <x:c r="D81" s="258"/>
      <x:c r="E81" s="258"/>
      <x:c r="F81" s="258"/>
      <x:c r="G81" s="258"/>
      <x:c r="H81" s="258"/>
      <x:c r="I81" s="258"/>
      <x:c r="J81" s="258"/>
      <x:c r="K81" s="258"/>
      <x:c r="L81" s="258"/>
      <x:c r="M81" s="258"/>
      <x:c r="N81" s="258"/>
      <x:c r="O81" s="258"/>
      <x:c r="P81" s="258"/>
      <x:c r="Q81" s="258"/>
      <x:c r="R81" s="258"/>
      <x:c r="S81" s="258"/>
      <x:c r="T81" s="258"/>
      <x:c r="U81" s="258"/>
      <x:c r="V81" s="258"/>
      <x:c r="W81" s="258"/>
      <x:c r="X81" s="258"/>
      <x:c r="Y81" s="258"/>
      <x:c r="Z81" s="258"/>
    </x:row>
    <x:row r="82">
      <x:c r="A82" s="258"/>
      <x:c r="B82" s="258"/>
      <x:c r="C82" s="258"/>
      <x:c r="D82" s="258"/>
      <x:c r="E82" s="258"/>
      <x:c r="F82" s="258"/>
      <x:c r="G82" s="258"/>
      <x:c r="H82" s="258"/>
      <x:c r="I82" s="258"/>
      <x:c r="J82" s="258"/>
      <x:c r="K82" s="258"/>
      <x:c r="L82" s="258"/>
      <x:c r="M82" s="258"/>
      <x:c r="N82" s="258"/>
      <x:c r="O82" s="258"/>
      <x:c r="P82" s="258"/>
      <x:c r="Q82" s="258"/>
      <x:c r="R82" s="258"/>
      <x:c r="S82" s="258"/>
      <x:c r="T82" s="258"/>
      <x:c r="U82" s="258"/>
      <x:c r="V82" s="258"/>
      <x:c r="W82" s="258"/>
      <x:c r="X82" s="258"/>
      <x:c r="Y82" s="258"/>
      <x:c r="Z82" s="258"/>
    </x:row>
    <x:row r="83">
      <x:c r="A83" s="258"/>
      <x:c r="B83" s="258"/>
      <x:c r="C83" s="258"/>
      <x:c r="D83" s="258"/>
      <x:c r="E83" s="258"/>
      <x:c r="F83" s="258"/>
      <x:c r="G83" s="258"/>
      <x:c r="H83" s="258"/>
      <x:c r="I83" s="258"/>
      <x:c r="J83" s="258"/>
      <x:c r="K83" s="258"/>
      <x:c r="L83" s="258"/>
      <x:c r="M83" s="258"/>
      <x:c r="N83" s="258"/>
      <x:c r="O83" s="258"/>
      <x:c r="P83" s="258"/>
      <x:c r="Q83" s="258"/>
      <x:c r="R83" s="258"/>
      <x:c r="S83" s="258"/>
      <x:c r="T83" s="258"/>
      <x:c r="U83" s="258"/>
      <x:c r="V83" s="258"/>
      <x:c r="W83" s="258"/>
      <x:c r="X83" s="258"/>
      <x:c r="Y83" s="258"/>
      <x:c r="Z83" s="258"/>
    </x:row>
    <x:row r="84">
      <x:c r="A84" s="258"/>
      <x:c r="B84" s="258"/>
      <x:c r="C84" s="258"/>
      <x:c r="D84" s="258"/>
      <x:c r="E84" s="258"/>
      <x:c r="F84" s="258"/>
      <x:c r="G84" s="258"/>
      <x:c r="H84" s="258"/>
      <x:c r="I84" s="258"/>
      <x:c r="J84" s="258"/>
      <x:c r="K84" s="258"/>
      <x:c r="L84" s="258"/>
      <x:c r="M84" s="258"/>
      <x:c r="N84" s="258"/>
      <x:c r="O84" s="258"/>
      <x:c r="P84" s="258"/>
      <x:c r="Q84" s="258"/>
      <x:c r="R84" s="258"/>
      <x:c r="S84" s="258"/>
      <x:c r="T84" s="258"/>
      <x:c r="U84" s="258"/>
      <x:c r="V84" s="258"/>
      <x:c r="W84" s="258"/>
      <x:c r="X84" s="258"/>
      <x:c r="Y84" s="258"/>
      <x:c r="Z84" s="258"/>
    </x:row>
    <x:row r="85">
      <x:c r="A85" s="258"/>
      <x:c r="B85" s="258"/>
      <x:c r="C85" s="258"/>
      <x:c r="D85" s="258"/>
      <x:c r="E85" s="258"/>
      <x:c r="F85" s="258"/>
      <x:c r="G85" s="258"/>
      <x:c r="H85" s="258"/>
      <x:c r="I85" s="258"/>
      <x:c r="J85" s="258"/>
      <x:c r="K85" s="258"/>
      <x:c r="L85" s="258"/>
      <x:c r="M85" s="258"/>
      <x:c r="N85" s="258"/>
      <x:c r="O85" s="258"/>
      <x:c r="P85" s="258"/>
      <x:c r="Q85" s="258"/>
      <x:c r="R85" s="258"/>
      <x:c r="S85" s="258"/>
      <x:c r="T85" s="258"/>
      <x:c r="U85" s="258"/>
      <x:c r="V85" s="258"/>
      <x:c r="W85" s="258"/>
      <x:c r="X85" s="258"/>
      <x:c r="Y85" s="258"/>
      <x:c r="Z85" s="258"/>
    </x:row>
    <x:row r="86">
      <x:c r="A86" s="258"/>
      <x:c r="B86" s="258"/>
      <x:c r="C86" s="258"/>
      <x:c r="D86" s="258"/>
      <x:c r="E86" s="258"/>
      <x:c r="F86" s="258"/>
      <x:c r="G86" s="258"/>
      <x:c r="H86" s="258"/>
      <x:c r="I86" s="258"/>
      <x:c r="J86" s="258"/>
      <x:c r="K86" s="258"/>
      <x:c r="L86" s="258"/>
      <x:c r="M86" s="258"/>
      <x:c r="N86" s="258"/>
      <x:c r="O86" s="258"/>
      <x:c r="P86" s="258"/>
      <x:c r="Q86" s="258"/>
      <x:c r="R86" s="258"/>
      <x:c r="S86" s="258"/>
      <x:c r="T86" s="258"/>
      <x:c r="U86" s="258"/>
      <x:c r="V86" s="258"/>
      <x:c r="W86" s="258"/>
      <x:c r="X86" s="258"/>
      <x:c r="Y86" s="258"/>
      <x:c r="Z86" s="258"/>
    </x:row>
    <x:row r="87">
      <x:c r="A87" s="258"/>
      <x:c r="B87" s="258"/>
      <x:c r="C87" s="258"/>
      <x:c r="D87" s="258"/>
      <x:c r="E87" s="258"/>
      <x:c r="F87" s="258"/>
      <x:c r="G87" s="258"/>
      <x:c r="H87" s="258"/>
      <x:c r="I87" s="258"/>
      <x:c r="J87" s="258"/>
      <x:c r="K87" s="258"/>
      <x:c r="L87" s="258"/>
      <x:c r="M87" s="258"/>
      <x:c r="N87" s="258"/>
      <x:c r="O87" s="258"/>
      <x:c r="P87" s="258"/>
      <x:c r="Q87" s="258"/>
      <x:c r="R87" s="258"/>
      <x:c r="S87" s="258"/>
      <x:c r="T87" s="258"/>
      <x:c r="U87" s="258"/>
      <x:c r="V87" s="258"/>
      <x:c r="W87" s="258"/>
      <x:c r="X87" s="258"/>
      <x:c r="Y87" s="258"/>
      <x:c r="Z87" s="258"/>
    </x:row>
    <x:row r="88">
      <x:c r="A88" s="258"/>
      <x:c r="B88" s="258"/>
      <x:c r="C88" s="258"/>
      <x:c r="D88" s="258"/>
      <x:c r="E88" s="258"/>
      <x:c r="F88" s="258"/>
      <x:c r="G88" s="258"/>
      <x:c r="H88" s="258"/>
      <x:c r="I88" s="258"/>
      <x:c r="J88" s="258"/>
      <x:c r="K88" s="258"/>
      <x:c r="L88" s="258"/>
      <x:c r="M88" s="258"/>
      <x:c r="N88" s="258"/>
      <x:c r="O88" s="258"/>
      <x:c r="P88" s="258"/>
      <x:c r="Q88" s="258"/>
      <x:c r="R88" s="258"/>
      <x:c r="S88" s="258"/>
      <x:c r="T88" s="258"/>
      <x:c r="U88" s="258"/>
      <x:c r="V88" s="258"/>
      <x:c r="W88" s="258"/>
      <x:c r="X88" s="258"/>
      <x:c r="Y88" s="258"/>
      <x:c r="Z88" s="258"/>
    </x:row>
    <x:row r="89">
      <x:c r="A89" s="258"/>
      <x:c r="B89" s="258"/>
      <x:c r="C89" s="258"/>
      <x:c r="D89" s="258"/>
      <x:c r="E89" s="258"/>
      <x:c r="F89" s="258"/>
      <x:c r="G89" s="258"/>
      <x:c r="H89" s="258"/>
      <x:c r="I89" s="258"/>
      <x:c r="J89" s="258"/>
      <x:c r="K89" s="258"/>
      <x:c r="L89" s="258"/>
      <x:c r="M89" s="258"/>
      <x:c r="N89" s="258"/>
      <x:c r="O89" s="258"/>
      <x:c r="P89" s="258"/>
      <x:c r="Q89" s="258"/>
      <x:c r="R89" s="258"/>
      <x:c r="S89" s="258"/>
      <x:c r="T89" s="258"/>
      <x:c r="U89" s="258"/>
      <x:c r="V89" s="258"/>
      <x:c r="W89" s="258"/>
      <x:c r="X89" s="258"/>
      <x:c r="Y89" s="258"/>
      <x:c r="Z89" s="258"/>
    </x:row>
    <x:row r="90">
      <x:c r="A90" s="258"/>
      <x:c r="B90" s="258"/>
      <x:c r="C90" s="258"/>
      <x:c r="D90" s="258"/>
      <x:c r="E90" s="258"/>
      <x:c r="F90" s="258"/>
      <x:c r="G90" s="258"/>
      <x:c r="H90" s="258"/>
      <x:c r="I90" s="258"/>
      <x:c r="J90" s="258"/>
      <x:c r="K90" s="258"/>
      <x:c r="L90" s="258"/>
      <x:c r="M90" s="258"/>
      <x:c r="N90" s="258"/>
      <x:c r="O90" s="258"/>
      <x:c r="P90" s="258"/>
      <x:c r="Q90" s="258"/>
      <x:c r="R90" s="258"/>
      <x:c r="S90" s="258"/>
      <x:c r="T90" s="258"/>
      <x:c r="U90" s="258"/>
      <x:c r="V90" s="258"/>
      <x:c r="W90" s="258"/>
      <x:c r="X90" s="258"/>
      <x:c r="Y90" s="258"/>
      <x:c r="Z90" s="258"/>
    </x:row>
    <x:row r="91">
      <x:c r="A91" s="258"/>
      <x:c r="B91" s="258"/>
      <x:c r="C91" s="258"/>
      <x:c r="D91" s="258"/>
      <x:c r="E91" s="258"/>
      <x:c r="F91" s="258"/>
      <x:c r="G91" s="258"/>
      <x:c r="H91" s="258"/>
      <x:c r="I91" s="258"/>
      <x:c r="J91" s="258"/>
      <x:c r="K91" s="258"/>
      <x:c r="L91" s="258"/>
      <x:c r="M91" s="258"/>
      <x:c r="N91" s="258"/>
      <x:c r="O91" s="258"/>
      <x:c r="P91" s="258"/>
      <x:c r="Q91" s="258"/>
      <x:c r="R91" s="258"/>
      <x:c r="S91" s="258"/>
      <x:c r="T91" s="258"/>
      <x:c r="U91" s="258"/>
      <x:c r="V91" s="258"/>
      <x:c r="W91" s="258"/>
      <x:c r="X91" s="258"/>
      <x:c r="Y91" s="258"/>
      <x:c r="Z91" s="258"/>
    </x:row>
    <x:row r="92">
      <x:c r="A92" s="258"/>
      <x:c r="B92" s="258"/>
      <x:c r="C92" s="258"/>
      <x:c r="D92" s="258"/>
      <x:c r="E92" s="258"/>
      <x:c r="F92" s="258"/>
      <x:c r="G92" s="258"/>
      <x:c r="H92" s="258"/>
      <x:c r="I92" s="258"/>
      <x:c r="J92" s="258"/>
      <x:c r="K92" s="258"/>
      <x:c r="L92" s="258"/>
      <x:c r="M92" s="258"/>
      <x:c r="N92" s="258"/>
      <x:c r="O92" s="258"/>
      <x:c r="P92" s="258"/>
      <x:c r="Q92" s="258"/>
      <x:c r="R92" s="258"/>
      <x:c r="S92" s="258"/>
      <x:c r="T92" s="258"/>
      <x:c r="U92" s="258"/>
      <x:c r="V92" s="258"/>
      <x:c r="W92" s="258"/>
      <x:c r="X92" s="258"/>
      <x:c r="Y92" s="258"/>
      <x:c r="Z92" s="258"/>
    </x:row>
    <x:row r="93">
      <x:c r="A93" s="258"/>
      <x:c r="B93" s="258"/>
      <x:c r="C93" s="258"/>
      <x:c r="D93" s="258"/>
      <x:c r="E93" s="258"/>
      <x:c r="F93" s="258"/>
      <x:c r="G93" s="258"/>
      <x:c r="H93" s="258"/>
      <x:c r="I93" s="258"/>
      <x:c r="J93" s="258"/>
      <x:c r="K93" s="258"/>
      <x:c r="L93" s="258"/>
      <x:c r="M93" s="258"/>
      <x:c r="N93" s="258"/>
      <x:c r="O93" s="258"/>
      <x:c r="P93" s="258"/>
      <x:c r="Q93" s="258"/>
      <x:c r="R93" s="258"/>
      <x:c r="S93" s="258"/>
      <x:c r="T93" s="258"/>
      <x:c r="U93" s="258"/>
      <x:c r="V93" s="258"/>
      <x:c r="W93" s="258"/>
      <x:c r="X93" s="258"/>
      <x:c r="Y93" s="258"/>
      <x:c r="Z93" s="258"/>
    </x:row>
    <x:row r="94">
      <x:c r="A94" s="258"/>
      <x:c r="B94" s="258"/>
      <x:c r="C94" s="258"/>
      <x:c r="D94" s="258"/>
      <x:c r="E94" s="258"/>
      <x:c r="F94" s="258"/>
      <x:c r="G94" s="258"/>
      <x:c r="H94" s="258"/>
      <x:c r="I94" s="258"/>
      <x:c r="J94" s="258"/>
      <x:c r="K94" s="258"/>
      <x:c r="L94" s="258"/>
      <x:c r="M94" s="258"/>
      <x:c r="N94" s="258"/>
      <x:c r="O94" s="258"/>
      <x:c r="P94" s="258"/>
      <x:c r="Q94" s="258"/>
      <x:c r="R94" s="258"/>
      <x:c r="S94" s="258"/>
      <x:c r="T94" s="258"/>
      <x:c r="U94" s="258"/>
      <x:c r="V94" s="258"/>
      <x:c r="W94" s="258"/>
      <x:c r="X94" s="258"/>
      <x:c r="Y94" s="258"/>
      <x:c r="Z94" s="258"/>
    </x:row>
    <x:row r="95">
      <x:c r="A95" s="258"/>
      <x:c r="B95" s="258"/>
      <x:c r="C95" s="258"/>
      <x:c r="D95" s="258"/>
      <x:c r="E95" s="258"/>
      <x:c r="F95" s="258"/>
      <x:c r="G95" s="258"/>
      <x:c r="H95" s="258"/>
      <x:c r="I95" s="258"/>
      <x:c r="J95" s="258"/>
      <x:c r="K95" s="258"/>
      <x:c r="L95" s="258"/>
      <x:c r="M95" s="258"/>
      <x:c r="N95" s="258"/>
      <x:c r="O95" s="258"/>
      <x:c r="P95" s="258"/>
      <x:c r="Q95" s="258"/>
      <x:c r="R95" s="258"/>
      <x:c r="S95" s="258"/>
      <x:c r="T95" s="258"/>
      <x:c r="U95" s="258"/>
      <x:c r="V95" s="258"/>
      <x:c r="W95" s="258"/>
      <x:c r="X95" s="258"/>
      <x:c r="Y95" s="258"/>
      <x:c r="Z95" s="258"/>
    </x:row>
    <x:row r="96">
      <x:c r="A96" s="258"/>
      <x:c r="B96" s="258"/>
      <x:c r="C96" s="258"/>
      <x:c r="D96" s="258"/>
      <x:c r="E96" s="258"/>
      <x:c r="F96" s="258"/>
      <x:c r="G96" s="258"/>
      <x:c r="H96" s="258"/>
      <x:c r="I96" s="258"/>
      <x:c r="J96" s="258"/>
      <x:c r="K96" s="258"/>
      <x:c r="L96" s="258"/>
      <x:c r="M96" s="258"/>
      <x:c r="N96" s="258"/>
      <x:c r="O96" s="258"/>
      <x:c r="P96" s="258"/>
      <x:c r="Q96" s="258"/>
      <x:c r="R96" s="258"/>
      <x:c r="S96" s="258"/>
      <x:c r="T96" s="258"/>
      <x:c r="U96" s="258"/>
      <x:c r="V96" s="258"/>
      <x:c r="W96" s="258"/>
      <x:c r="X96" s="258"/>
      <x:c r="Y96" s="258"/>
      <x:c r="Z96" s="258"/>
    </x:row>
    <x:row r="97">
      <x:c r="A97" s="258"/>
      <x:c r="B97" s="258"/>
      <x:c r="C97" s="258"/>
      <x:c r="D97" s="258"/>
      <x:c r="E97" s="258"/>
      <x:c r="F97" s="258"/>
      <x:c r="G97" s="258"/>
      <x:c r="H97" s="258"/>
      <x:c r="I97" s="258"/>
      <x:c r="J97" s="258"/>
      <x:c r="K97" s="258"/>
      <x:c r="L97" s="258"/>
      <x:c r="M97" s="258"/>
      <x:c r="N97" s="258"/>
      <x:c r="O97" s="258"/>
      <x:c r="P97" s="258"/>
      <x:c r="Q97" s="258"/>
      <x:c r="R97" s="258"/>
      <x:c r="S97" s="258"/>
      <x:c r="T97" s="258"/>
      <x:c r="U97" s="258"/>
      <x:c r="V97" s="258"/>
      <x:c r="W97" s="258"/>
      <x:c r="X97" s="258"/>
      <x:c r="Y97" s="258"/>
      <x:c r="Z97" s="258"/>
    </x:row>
    <x:row r="98">
      <x:c r="A98" s="258"/>
      <x:c r="B98" s="258"/>
      <x:c r="C98" s="258"/>
      <x:c r="D98" s="258"/>
      <x:c r="E98" s="258"/>
      <x:c r="F98" s="258"/>
      <x:c r="G98" s="258"/>
      <x:c r="H98" s="258"/>
      <x:c r="I98" s="258"/>
      <x:c r="J98" s="258"/>
      <x:c r="K98" s="258"/>
      <x:c r="L98" s="258"/>
      <x:c r="M98" s="258"/>
      <x:c r="N98" s="258"/>
      <x:c r="O98" s="258"/>
      <x:c r="P98" s="258"/>
      <x:c r="Q98" s="258"/>
      <x:c r="R98" s="258"/>
      <x:c r="S98" s="258"/>
      <x:c r="T98" s="258"/>
      <x:c r="U98" s="258"/>
      <x:c r="V98" s="258"/>
      <x:c r="W98" s="258"/>
      <x:c r="X98" s="258"/>
      <x:c r="Y98" s="258"/>
      <x:c r="Z98" s="258"/>
    </x:row>
    <x:row r="99">
      <x:c r="A99" s="258"/>
      <x:c r="B99" s="258"/>
      <x:c r="C99" s="258"/>
      <x:c r="D99" s="258"/>
      <x:c r="E99" s="258"/>
      <x:c r="F99" s="258"/>
      <x:c r="G99" s="258"/>
      <x:c r="H99" s="258"/>
      <x:c r="I99" s="258"/>
      <x:c r="J99" s="258"/>
      <x:c r="K99" s="258"/>
      <x:c r="L99" s="258"/>
      <x:c r="M99" s="258"/>
      <x:c r="N99" s="258"/>
      <x:c r="O99" s="258"/>
      <x:c r="P99" s="258"/>
      <x:c r="Q99" s="258"/>
      <x:c r="R99" s="258"/>
      <x:c r="S99" s="258"/>
      <x:c r="T99" s="258"/>
      <x:c r="U99" s="258"/>
      <x:c r="V99" s="258"/>
      <x:c r="W99" s="258"/>
      <x:c r="X99" s="258"/>
      <x:c r="Y99" s="258"/>
      <x:c r="Z99" s="258"/>
    </x:row>
    <x:row r="100">
      <x:c r="A100" s="258"/>
      <x:c r="B100" s="258"/>
      <x:c r="C100" s="258"/>
      <x:c r="D100" s="258"/>
      <x:c r="E100" s="258"/>
      <x:c r="F100" s="258"/>
      <x:c r="G100" s="258"/>
      <x:c r="H100" s="258"/>
      <x:c r="I100" s="258"/>
      <x:c r="J100" s="258"/>
      <x:c r="K100" s="258"/>
      <x:c r="L100" s="258"/>
      <x:c r="M100" s="258"/>
      <x:c r="N100" s="258"/>
      <x:c r="O100" s="258"/>
      <x:c r="P100" s="258"/>
      <x:c r="Q100" s="258"/>
      <x:c r="R100" s="258"/>
      <x:c r="S100" s="258"/>
      <x:c r="T100" s="258"/>
      <x:c r="U100" s="258"/>
      <x:c r="V100" s="258"/>
      <x:c r="W100" s="258"/>
      <x:c r="X100" s="258"/>
      <x:c r="Y100" s="258"/>
      <x:c r="Z100" s="258"/>
    </x:row>
  </x:sheetData>
  <x:mergeCells>
    <x:mergeCell ref="A1:H1"/>
  </x:mergeCells>
  <x:dataValidations count="1">
    <x:dataValidation sqref="B4:G23">
      <x:formula1>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c703e3aaf0f4b7e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3.7699999809265137" hidden="0" customWidth="1"/>
    <x:col min="2" max="2" width="4.440000057220459" hidden="0" customWidth="1"/>
    <x:col min="3" max="3" width="5.920000076293945" hidden="0" customWidth="1"/>
    <x:col min="4" max="4" width="6.059999942779541" hidden="0" customWidth="1"/>
    <x:col min="5" max="5" width="5.920000076293945" hidden="0" customWidth="1"/>
    <x:col min="6" max="6" width="5.920000076293945" hidden="0" customWidth="1"/>
    <x:col min="7" max="7" width="6.059999942779541" hidden="0" customWidth="1"/>
    <x:col min="8" max="8" width="4.710000038146973" hidden="0" customWidth="1"/>
  </x:cols>
  <x:sheetData>
    <x:row r="1" ht="34" customHeight="1">
      <x:c r="A1" s="5" t="str">
        <x:v>FIXTURES / MATCH LOG</x:v>
      </x:c>
      <x:c r="B1" s="5"/>
      <x:c r="C1" s="5"/>
      <x:c r="D1" s="5"/>
      <x:c r="E1" s="5"/>
      <x:c r="F1" s="5"/>
      <x:c r="G1" s="5"/>
      <x:c r="H1" s="5"/>
      <x:c r="I1" s="258"/>
      <x:c r="J1" s="258"/>
      <x:c r="K1" s="258"/>
      <x:c r="L1" s="258"/>
      <x:c r="M1" s="258"/>
      <x:c r="N1" s="258"/>
      <x:c r="O1" s="258"/>
      <x:c r="P1" s="258"/>
      <x:c r="Q1" s="258"/>
      <x:c r="R1" s="258"/>
      <x:c r="S1" s="258"/>
      <x:c r="T1" s="258"/>
      <x:c r="U1" s="258"/>
      <x:c r="V1" s="258"/>
      <x:c r="W1" s="258"/>
      <x:c r="X1" s="258"/>
      <x:c r="Y1" s="258"/>
      <x:c r="Z1" s="258"/>
    </x:row>
    <x:row r="2">
      <x:c r="A2" s="258"/>
      <x:c r="B2" s="258"/>
      <x:c r="C2" s="258"/>
      <x:c r="D2" s="258"/>
      <x:c r="E2" s="258"/>
      <x:c r="F2" s="258"/>
      <x:c r="G2" s="258"/>
      <x:c r="H2" s="258"/>
      <x:c r="I2" s="258"/>
      <x:c r="J2" s="258"/>
      <x:c r="K2" s="258"/>
      <x:c r="L2" s="258"/>
      <x:c r="M2" s="258"/>
      <x:c r="N2" s="258"/>
      <x:c r="O2" s="258"/>
      <x:c r="P2" s="258"/>
      <x:c r="Q2" s="258"/>
      <x:c r="R2" s="258"/>
      <x:c r="S2" s="258"/>
      <x:c r="T2" s="258"/>
      <x:c r="U2" s="258"/>
      <x:c r="V2" s="258"/>
      <x:c r="W2" s="258"/>
      <x:c r="X2" s="258"/>
      <x:c r="Y2" s="258"/>
      <x:c r="Z2" s="258"/>
    </x:row>
    <x:row r="3">
      <x:c r="A3" s="326" t="str">
        <x:v>Date</x:v>
      </x:c>
      <x:c r="B3" s="326" t="str">
        <x:v>Stage</x:v>
      </x:c>
      <x:c r="C3" s="326" t="str">
        <x:v>Team A</x:v>
      </x:c>
      <x:c r="D3" s="326" t="str">
        <x:v>Score A</x:v>
      </x:c>
      <x:c r="E3" s="326" t="str">
        <x:v>Score B</x:v>
      </x:c>
      <x:c r="F3" s="326" t="str">
        <x:v>Team B</x:v>
      </x:c>
      <x:c r="G3" s="326" t="str">
        <x:v>Winner</x:v>
      </x:c>
      <x:c r="H3" s="326" t="str">
        <x:v>Notes</x:v>
      </x:c>
      <x:c r="I3" s="258"/>
      <x:c r="J3" s="258"/>
      <x:c r="K3" s="258"/>
      <x:c r="L3" s="258"/>
      <x:c r="M3" s="258"/>
      <x:c r="N3" s="258"/>
      <x:c r="O3" s="258"/>
      <x:c r="P3" s="258"/>
      <x:c r="Q3" s="258"/>
      <x:c r="R3" s="258"/>
      <x:c r="S3" s="258"/>
      <x:c r="T3" s="258"/>
      <x:c r="U3" s="258"/>
      <x:c r="V3" s="258"/>
      <x:c r="W3" s="258"/>
      <x:c r="X3" s="258"/>
      <x:c r="Y3" s="258"/>
      <x:c r="Z3" s="258"/>
    </x:row>
    <x:row r="4">
      <x:c r="A4" s="327"/>
      <x:c r="B4" s="328"/>
      <x:c r="C4" s="328"/>
      <x:c r="D4" s="328"/>
      <x:c r="E4" s="328"/>
      <x:c r="F4" s="328"/>
      <x:c r="G4" s="328" t="str">
        <x:f>IF(OR(D4="",E4=""),"",IF(D4&gt;E4,C4,IF(E4&gt;D4,F4,"Draw")))</x:f>
      </x:c>
      <x:c r="H4" s="329"/>
      <x:c r="I4" s="258"/>
      <x:c r="J4" s="258"/>
      <x:c r="K4" s="258"/>
      <x:c r="L4" s="258"/>
      <x:c r="M4" s="258"/>
      <x:c r="N4" s="258"/>
      <x:c r="O4" s="258"/>
      <x:c r="P4" s="258"/>
      <x:c r="Q4" s="258"/>
      <x:c r="R4" s="258"/>
      <x:c r="S4" s="258"/>
      <x:c r="T4" s="258"/>
      <x:c r="U4" s="258"/>
      <x:c r="V4" s="258"/>
      <x:c r="W4" s="258"/>
      <x:c r="X4" s="258"/>
      <x:c r="Y4" s="258"/>
      <x:c r="Z4" s="258"/>
    </x:row>
    <x:row r="5">
      <x:c r="A5" s="330"/>
      <x:c r="B5" s="331"/>
      <x:c r="C5" s="331"/>
      <x:c r="D5" s="331"/>
      <x:c r="E5" s="331"/>
      <x:c r="F5" s="331"/>
      <x:c r="G5" s="331" t="str">
        <x:f>IF(OR(D5="",E5=""),"",IF(D5&gt;E5,C5,IF(E5&gt;D5,F5,"Draw")))</x:f>
      </x:c>
      <x:c r="H5" s="332"/>
      <x:c r="I5" s="258"/>
      <x:c r="J5" s="258"/>
      <x:c r="K5" s="258"/>
      <x:c r="L5" s="258"/>
      <x:c r="M5" s="258"/>
      <x:c r="N5" s="258"/>
      <x:c r="O5" s="258"/>
      <x:c r="P5" s="258"/>
      <x:c r="Q5" s="258"/>
      <x:c r="R5" s="258"/>
      <x:c r="S5" s="258"/>
      <x:c r="T5" s="258"/>
      <x:c r="U5" s="258"/>
      <x:c r="V5" s="258"/>
      <x:c r="W5" s="258"/>
      <x:c r="X5" s="258"/>
      <x:c r="Y5" s="258"/>
      <x:c r="Z5" s="258"/>
    </x:row>
    <x:row r="6">
      <x:c r="A6" s="330"/>
      <x:c r="B6" s="331"/>
      <x:c r="C6" s="331"/>
      <x:c r="D6" s="331"/>
      <x:c r="E6" s="331"/>
      <x:c r="F6" s="331"/>
      <x:c r="G6" s="331" t="str">
        <x:f>IF(OR(D6="",E6=""),"",IF(D6&gt;E6,C6,IF(E6&gt;D6,F6,"Draw")))</x:f>
      </x:c>
      <x:c r="H6" s="332"/>
      <x:c r="I6" s="258"/>
      <x:c r="J6" s="258"/>
      <x:c r="K6" s="258"/>
      <x:c r="L6" s="258"/>
      <x:c r="M6" s="258"/>
      <x:c r="N6" s="258"/>
      <x:c r="O6" s="258"/>
      <x:c r="P6" s="258"/>
      <x:c r="Q6" s="258"/>
      <x:c r="R6" s="258"/>
      <x:c r="S6" s="258"/>
      <x:c r="T6" s="258"/>
      <x:c r="U6" s="258"/>
      <x:c r="V6" s="258"/>
      <x:c r="W6" s="258"/>
      <x:c r="X6" s="258"/>
      <x:c r="Y6" s="258"/>
      <x:c r="Z6" s="258"/>
    </x:row>
    <x:row r="7">
      <x:c r="A7" s="330"/>
      <x:c r="B7" s="331"/>
      <x:c r="C7" s="331"/>
      <x:c r="D7" s="331"/>
      <x:c r="E7" s="331"/>
      <x:c r="F7" s="331"/>
      <x:c r="G7" s="331" t="str">
        <x:f>IF(OR(D7="",E7=""),"",IF(D7&gt;E7,C7,IF(E7&gt;D7,F7,"Draw")))</x:f>
      </x:c>
      <x:c r="H7" s="332"/>
      <x:c r="I7" s="258"/>
      <x:c r="J7" s="258"/>
      <x:c r="K7" s="258"/>
      <x:c r="L7" s="258"/>
      <x:c r="M7" s="258"/>
      <x:c r="N7" s="258"/>
      <x:c r="O7" s="258"/>
      <x:c r="P7" s="258"/>
      <x:c r="Q7" s="258"/>
      <x:c r="R7" s="258"/>
      <x:c r="S7" s="258"/>
      <x:c r="T7" s="258"/>
      <x:c r="U7" s="258"/>
      <x:c r="V7" s="258"/>
      <x:c r="W7" s="258"/>
      <x:c r="X7" s="258"/>
      <x:c r="Y7" s="258"/>
      <x:c r="Z7" s="258"/>
    </x:row>
    <x:row r="8">
      <x:c r="A8" s="330"/>
      <x:c r="B8" s="331"/>
      <x:c r="C8" s="331"/>
      <x:c r="D8" s="331"/>
      <x:c r="E8" s="331"/>
      <x:c r="F8" s="331"/>
      <x:c r="G8" s="331" t="str">
        <x:f>IF(OR(D8="",E8=""),"",IF(D8&gt;E8,C8,IF(E8&gt;D8,F8,"Draw")))</x:f>
      </x:c>
      <x:c r="H8" s="332"/>
      <x:c r="I8" s="258"/>
      <x:c r="J8" s="258"/>
      <x:c r="K8" s="258"/>
      <x:c r="L8" s="258"/>
      <x:c r="M8" s="258"/>
      <x:c r="N8" s="258"/>
      <x:c r="O8" s="258"/>
      <x:c r="P8" s="258"/>
      <x:c r="Q8" s="258"/>
      <x:c r="R8" s="258"/>
      <x:c r="S8" s="258"/>
      <x:c r="T8" s="258"/>
      <x:c r="U8" s="258"/>
      <x:c r="V8" s="258"/>
      <x:c r="W8" s="258"/>
      <x:c r="X8" s="258"/>
      <x:c r="Y8" s="258"/>
      <x:c r="Z8" s="258"/>
    </x:row>
    <x:row r="9">
      <x:c r="A9" s="330"/>
      <x:c r="B9" s="331"/>
      <x:c r="C9" s="331"/>
      <x:c r="D9" s="331"/>
      <x:c r="E9" s="331"/>
      <x:c r="F9" s="331"/>
      <x:c r="G9" s="331" t="str">
        <x:f>IF(OR(D9="",E9=""),"",IF(D9&gt;E9,C9,IF(E9&gt;D9,F9,"Draw")))</x:f>
      </x:c>
      <x:c r="H9" s="332"/>
      <x:c r="I9" s="258"/>
      <x:c r="J9" s="258"/>
      <x:c r="K9" s="258"/>
      <x:c r="L9" s="258"/>
      <x:c r="M9" s="258"/>
      <x:c r="N9" s="258"/>
      <x:c r="O9" s="258"/>
      <x:c r="P9" s="258"/>
      <x:c r="Q9" s="258"/>
      <x:c r="R9" s="258"/>
      <x:c r="S9" s="258"/>
      <x:c r="T9" s="258"/>
      <x:c r="U9" s="258"/>
      <x:c r="V9" s="258"/>
      <x:c r="W9" s="258"/>
      <x:c r="X9" s="258"/>
      <x:c r="Y9" s="258"/>
      <x:c r="Z9" s="258"/>
    </x:row>
    <x:row r="10">
      <x:c r="A10" s="330"/>
      <x:c r="B10" s="331"/>
      <x:c r="C10" s="331"/>
      <x:c r="D10" s="331"/>
      <x:c r="E10" s="331"/>
      <x:c r="F10" s="331"/>
      <x:c r="G10" s="331" t="str">
        <x:f>IF(OR(D10="",E10=""),"",IF(D10&gt;E10,C10,IF(E10&gt;D10,F10,"Draw")))</x:f>
      </x:c>
      <x:c r="H10" s="332"/>
      <x:c r="I10" s="258"/>
      <x:c r="J10" s="258"/>
      <x:c r="K10" s="258"/>
      <x:c r="L10" s="258"/>
      <x:c r="M10" s="258"/>
      <x:c r="N10" s="258"/>
      <x:c r="O10" s="258"/>
      <x:c r="P10" s="258"/>
      <x:c r="Q10" s="258"/>
      <x:c r="R10" s="258"/>
      <x:c r="S10" s="258"/>
      <x:c r="T10" s="258"/>
      <x:c r="U10" s="258"/>
      <x:c r="V10" s="258"/>
      <x:c r="W10" s="258"/>
      <x:c r="X10" s="258"/>
      <x:c r="Y10" s="258"/>
      <x:c r="Z10" s="258"/>
    </x:row>
    <x:row r="11">
      <x:c r="A11" s="330"/>
      <x:c r="B11" s="331"/>
      <x:c r="C11" s="331"/>
      <x:c r="D11" s="331"/>
      <x:c r="E11" s="331"/>
      <x:c r="F11" s="331"/>
      <x:c r="G11" s="331" t="str">
        <x:f>IF(OR(D11="",E11=""),"",IF(D11&gt;E11,C11,IF(E11&gt;D11,F11,"Draw")))</x:f>
      </x:c>
      <x:c r="H11" s="332"/>
      <x:c r="I11" s="258"/>
      <x:c r="J11" s="258"/>
      <x:c r="K11" s="258"/>
      <x:c r="L11" s="258"/>
      <x:c r="M11" s="258"/>
      <x:c r="N11" s="258"/>
      <x:c r="O11" s="258"/>
      <x:c r="P11" s="258"/>
      <x:c r="Q11" s="258"/>
      <x:c r="R11" s="258"/>
      <x:c r="S11" s="258"/>
      <x:c r="T11" s="258"/>
      <x:c r="U11" s="258"/>
      <x:c r="V11" s="258"/>
      <x:c r="W11" s="258"/>
      <x:c r="X11" s="258"/>
      <x:c r="Y11" s="258"/>
      <x:c r="Z11" s="258"/>
    </x:row>
    <x:row r="12">
      <x:c r="A12" s="330"/>
      <x:c r="B12" s="331"/>
      <x:c r="C12" s="331"/>
      <x:c r="D12" s="331"/>
      <x:c r="E12" s="331"/>
      <x:c r="F12" s="331"/>
      <x:c r="G12" s="331" t="str">
        <x:f>IF(OR(D12="",E12=""),"",IF(D12&gt;E12,C12,IF(E12&gt;D12,F12,"Draw")))</x:f>
      </x:c>
      <x:c r="H12" s="332"/>
      <x:c r="I12" s="258"/>
      <x:c r="J12" s="258"/>
      <x:c r="K12" s="258"/>
      <x:c r="L12" s="258"/>
      <x:c r="M12" s="258"/>
      <x:c r="N12" s="258"/>
      <x:c r="O12" s="258"/>
      <x:c r="P12" s="258"/>
      <x:c r="Q12" s="258"/>
      <x:c r="R12" s="258"/>
      <x:c r="S12" s="258"/>
      <x:c r="T12" s="258"/>
      <x:c r="U12" s="258"/>
      <x:c r="V12" s="258"/>
      <x:c r="W12" s="258"/>
      <x:c r="X12" s="258"/>
      <x:c r="Y12" s="258"/>
      <x:c r="Z12" s="258"/>
    </x:row>
    <x:row r="13">
      <x:c r="A13" s="330"/>
      <x:c r="B13" s="331"/>
      <x:c r="C13" s="331"/>
      <x:c r="D13" s="331"/>
      <x:c r="E13" s="331"/>
      <x:c r="F13" s="331"/>
      <x:c r="G13" s="331" t="str">
        <x:f>IF(OR(D13="",E13=""),"",IF(D13&gt;E13,C13,IF(E13&gt;D13,F13,"Draw")))</x:f>
      </x:c>
      <x:c r="H13" s="332"/>
      <x:c r="I13" s="258"/>
      <x:c r="J13" s="258"/>
      <x:c r="K13" s="258"/>
      <x:c r="L13" s="258"/>
      <x:c r="M13" s="258"/>
      <x:c r="N13" s="258"/>
      <x:c r="O13" s="258"/>
      <x:c r="P13" s="258"/>
      <x:c r="Q13" s="258"/>
      <x:c r="R13" s="258"/>
      <x:c r="S13" s="258"/>
      <x:c r="T13" s="258"/>
      <x:c r="U13" s="258"/>
      <x:c r="V13" s="258"/>
      <x:c r="W13" s="258"/>
      <x:c r="X13" s="258"/>
      <x:c r="Y13" s="258"/>
      <x:c r="Z13" s="258"/>
    </x:row>
    <x:row r="14">
      <x:c r="A14" s="330"/>
      <x:c r="B14" s="331"/>
      <x:c r="C14" s="331"/>
      <x:c r="D14" s="331"/>
      <x:c r="E14" s="331"/>
      <x:c r="F14" s="331"/>
      <x:c r="G14" s="331" t="str">
        <x:f>IF(OR(D14="",E14=""),"",IF(D14&gt;E14,C14,IF(E14&gt;D14,F14,"Draw")))</x:f>
      </x:c>
      <x:c r="H14" s="332"/>
      <x:c r="I14" s="258"/>
      <x:c r="J14" s="258"/>
      <x:c r="K14" s="258"/>
      <x:c r="L14" s="258"/>
      <x:c r="M14" s="258"/>
      <x:c r="N14" s="258"/>
      <x:c r="O14" s="258"/>
      <x:c r="P14" s="258"/>
      <x:c r="Q14" s="258"/>
      <x:c r="R14" s="258"/>
      <x:c r="S14" s="258"/>
      <x:c r="T14" s="258"/>
      <x:c r="U14" s="258"/>
      <x:c r="V14" s="258"/>
      <x:c r="W14" s="258"/>
      <x:c r="X14" s="258"/>
      <x:c r="Y14" s="258"/>
      <x:c r="Z14" s="258"/>
    </x:row>
    <x:row r="15">
      <x:c r="A15" s="330"/>
      <x:c r="B15" s="331"/>
      <x:c r="C15" s="331"/>
      <x:c r="D15" s="331"/>
      <x:c r="E15" s="331"/>
      <x:c r="F15" s="331"/>
      <x:c r="G15" s="331" t="str">
        <x:f>IF(OR(D15="",E15=""),"",IF(D15&gt;E15,C15,IF(E15&gt;D15,F15,"Draw")))</x:f>
      </x:c>
      <x:c r="H15" s="332"/>
      <x:c r="I15" s="258"/>
      <x:c r="J15" s="258"/>
      <x:c r="K15" s="258"/>
      <x:c r="L15" s="258"/>
      <x:c r="M15" s="258"/>
      <x:c r="N15" s="258"/>
      <x:c r="O15" s="258"/>
      <x:c r="P15" s="258"/>
      <x:c r="Q15" s="258"/>
      <x:c r="R15" s="258"/>
      <x:c r="S15" s="258"/>
      <x:c r="T15" s="258"/>
      <x:c r="U15" s="258"/>
      <x:c r="V15" s="258"/>
      <x:c r="W15" s="258"/>
      <x:c r="X15" s="258"/>
      <x:c r="Y15" s="258"/>
      <x:c r="Z15" s="258"/>
    </x:row>
    <x:row r="16">
      <x:c r="A16" s="330"/>
      <x:c r="B16" s="331"/>
      <x:c r="C16" s="331"/>
      <x:c r="D16" s="331"/>
      <x:c r="E16" s="331"/>
      <x:c r="F16" s="331"/>
      <x:c r="G16" s="331" t="str">
        <x:f>IF(OR(D16="",E16=""),"",IF(D16&gt;E16,C16,IF(E16&gt;D16,F16,"Draw")))</x:f>
      </x:c>
      <x:c r="H16" s="332"/>
      <x:c r="I16" s="258"/>
      <x:c r="J16" s="258"/>
      <x:c r="K16" s="258"/>
      <x:c r="L16" s="258"/>
      <x:c r="M16" s="258"/>
      <x:c r="N16" s="258"/>
      <x:c r="O16" s="258"/>
      <x:c r="P16" s="258"/>
      <x:c r="Q16" s="258"/>
      <x:c r="R16" s="258"/>
      <x:c r="S16" s="258"/>
      <x:c r="T16" s="258"/>
      <x:c r="U16" s="258"/>
      <x:c r="V16" s="258"/>
      <x:c r="W16" s="258"/>
      <x:c r="X16" s="258"/>
      <x:c r="Y16" s="258"/>
      <x:c r="Z16" s="258"/>
    </x:row>
    <x:row r="17">
      <x:c r="A17" s="330"/>
      <x:c r="B17" s="331"/>
      <x:c r="C17" s="331"/>
      <x:c r="D17" s="331"/>
      <x:c r="E17" s="331"/>
      <x:c r="F17" s="331"/>
      <x:c r="G17" s="331" t="str">
        <x:f>IF(OR(D17="",E17=""),"",IF(D17&gt;E17,C17,IF(E17&gt;D17,F17,"Draw")))</x:f>
      </x:c>
      <x:c r="H17" s="332"/>
      <x:c r="I17" s="258"/>
      <x:c r="J17" s="258"/>
      <x:c r="K17" s="258"/>
      <x:c r="L17" s="258"/>
      <x:c r="M17" s="258"/>
      <x:c r="N17" s="258"/>
      <x:c r="O17" s="258"/>
      <x:c r="P17" s="258"/>
      <x:c r="Q17" s="258"/>
      <x:c r="R17" s="258"/>
      <x:c r="S17" s="258"/>
      <x:c r="T17" s="258"/>
      <x:c r="U17" s="258"/>
      <x:c r="V17" s="258"/>
      <x:c r="W17" s="258"/>
      <x:c r="X17" s="258"/>
      <x:c r="Y17" s="258"/>
      <x:c r="Z17" s="258"/>
    </x:row>
    <x:row r="18">
      <x:c r="A18" s="330"/>
      <x:c r="B18" s="331"/>
      <x:c r="C18" s="331"/>
      <x:c r="D18" s="331"/>
      <x:c r="E18" s="331"/>
      <x:c r="F18" s="331"/>
      <x:c r="G18" s="331" t="str">
        <x:f>IF(OR(D18="",E18=""),"",IF(D18&gt;E18,C18,IF(E18&gt;D18,F18,"Draw")))</x:f>
      </x:c>
      <x:c r="H18" s="332"/>
      <x:c r="I18" s="258"/>
      <x:c r="J18" s="258"/>
      <x:c r="K18" s="258"/>
      <x:c r="L18" s="258"/>
      <x:c r="M18" s="258"/>
      <x:c r="N18" s="258"/>
      <x:c r="O18" s="258"/>
      <x:c r="P18" s="258"/>
      <x:c r="Q18" s="258"/>
      <x:c r="R18" s="258"/>
      <x:c r="S18" s="258"/>
      <x:c r="T18" s="258"/>
      <x:c r="U18" s="258"/>
      <x:c r="V18" s="258"/>
      <x:c r="W18" s="258"/>
      <x:c r="X18" s="258"/>
      <x:c r="Y18" s="258"/>
      <x:c r="Z18" s="258"/>
    </x:row>
    <x:row r="19">
      <x:c r="A19" s="330"/>
      <x:c r="B19" s="331"/>
      <x:c r="C19" s="331"/>
      <x:c r="D19" s="331"/>
      <x:c r="E19" s="331"/>
      <x:c r="F19" s="331"/>
      <x:c r="G19" s="331" t="str">
        <x:f>IF(OR(D19="",E19=""),"",IF(D19&gt;E19,C19,IF(E19&gt;D19,F19,"Draw")))</x:f>
      </x:c>
      <x:c r="H19" s="332"/>
      <x:c r="I19" s="258"/>
      <x:c r="J19" s="258"/>
      <x:c r="K19" s="258"/>
      <x:c r="L19" s="258"/>
      <x:c r="M19" s="258"/>
      <x:c r="N19" s="258"/>
      <x:c r="O19" s="258"/>
      <x:c r="P19" s="258"/>
      <x:c r="Q19" s="258"/>
      <x:c r="R19" s="258"/>
      <x:c r="S19" s="258"/>
      <x:c r="T19" s="258"/>
      <x:c r="U19" s="258"/>
      <x:c r="V19" s="258"/>
      <x:c r="W19" s="258"/>
      <x:c r="X19" s="258"/>
      <x:c r="Y19" s="258"/>
      <x:c r="Z19" s="258"/>
    </x:row>
    <x:row r="20">
      <x:c r="A20" s="330"/>
      <x:c r="B20" s="331"/>
      <x:c r="C20" s="331"/>
      <x:c r="D20" s="331"/>
      <x:c r="E20" s="331"/>
      <x:c r="F20" s="331"/>
      <x:c r="G20" s="331" t="str">
        <x:f>IF(OR(D20="",E20=""),"",IF(D20&gt;E20,C20,IF(E20&gt;D20,F20,"Draw")))</x:f>
      </x:c>
      <x:c r="H20" s="332"/>
      <x:c r="I20" s="258"/>
      <x:c r="J20" s="258"/>
      <x:c r="K20" s="258"/>
      <x:c r="L20" s="258"/>
      <x:c r="M20" s="258"/>
      <x:c r="N20" s="258"/>
      <x:c r="O20" s="258"/>
      <x:c r="P20" s="258"/>
      <x:c r="Q20" s="258"/>
      <x:c r="R20" s="258"/>
      <x:c r="S20" s="258"/>
      <x:c r="T20" s="258"/>
      <x:c r="U20" s="258"/>
      <x:c r="V20" s="258"/>
      <x:c r="W20" s="258"/>
      <x:c r="X20" s="258"/>
      <x:c r="Y20" s="258"/>
      <x:c r="Z20" s="258"/>
    </x:row>
    <x:row r="21">
      <x:c r="A21" s="330"/>
      <x:c r="B21" s="331"/>
      <x:c r="C21" s="331"/>
      <x:c r="D21" s="331"/>
      <x:c r="E21" s="331"/>
      <x:c r="F21" s="331"/>
      <x:c r="G21" s="331" t="str">
        <x:f>IF(OR(D21="",E21=""),"",IF(D21&gt;E21,C21,IF(E21&gt;D21,F21,"Draw")))</x:f>
      </x:c>
      <x:c r="H21" s="332"/>
      <x:c r="I21" s="258"/>
      <x:c r="J21" s="258"/>
      <x:c r="K21" s="258"/>
      <x:c r="L21" s="258"/>
      <x:c r="M21" s="258"/>
      <x:c r="N21" s="258"/>
      <x:c r="O21" s="258"/>
      <x:c r="P21" s="258"/>
      <x:c r="Q21" s="258"/>
      <x:c r="R21" s="258"/>
      <x:c r="S21" s="258"/>
      <x:c r="T21" s="258"/>
      <x:c r="U21" s="258"/>
      <x:c r="V21" s="258"/>
      <x:c r="W21" s="258"/>
      <x:c r="X21" s="258"/>
      <x:c r="Y21" s="258"/>
      <x:c r="Z21" s="258"/>
    </x:row>
    <x:row r="22">
      <x:c r="A22" s="330"/>
      <x:c r="B22" s="331"/>
      <x:c r="C22" s="331"/>
      <x:c r="D22" s="331"/>
      <x:c r="E22" s="331"/>
      <x:c r="F22" s="331"/>
      <x:c r="G22" s="331" t="str">
        <x:f>IF(OR(D22="",E22=""),"",IF(D22&gt;E22,C22,IF(E22&gt;D22,F22,"Draw")))</x:f>
      </x:c>
      <x:c r="H22" s="332"/>
      <x:c r="I22" s="258"/>
      <x:c r="J22" s="258"/>
      <x:c r="K22" s="258"/>
      <x:c r="L22" s="258"/>
      <x:c r="M22" s="258"/>
      <x:c r="N22" s="258"/>
      <x:c r="O22" s="258"/>
      <x:c r="P22" s="258"/>
      <x:c r="Q22" s="258"/>
      <x:c r="R22" s="258"/>
      <x:c r="S22" s="258"/>
      <x:c r="T22" s="258"/>
      <x:c r="U22" s="258"/>
      <x:c r="V22" s="258"/>
      <x:c r="W22" s="258"/>
      <x:c r="X22" s="258"/>
      <x:c r="Y22" s="258"/>
      <x:c r="Z22" s="258"/>
    </x:row>
    <x:row r="23">
      <x:c r="A23" s="330"/>
      <x:c r="B23" s="331"/>
      <x:c r="C23" s="331"/>
      <x:c r="D23" s="331"/>
      <x:c r="E23" s="331"/>
      <x:c r="F23" s="331"/>
      <x:c r="G23" s="331" t="str">
        <x:f>IF(OR(D23="",E23=""),"",IF(D23&gt;E23,C23,IF(E23&gt;D23,F23,"Draw")))</x:f>
      </x:c>
      <x:c r="H23" s="332"/>
      <x:c r="I23" s="258"/>
      <x:c r="J23" s="258"/>
      <x:c r="K23" s="258"/>
      <x:c r="L23" s="258"/>
      <x:c r="M23" s="258"/>
      <x:c r="N23" s="258"/>
      <x:c r="O23" s="258"/>
      <x:c r="P23" s="258"/>
      <x:c r="Q23" s="258"/>
      <x:c r="R23" s="258"/>
      <x:c r="S23" s="258"/>
      <x:c r="T23" s="258"/>
      <x:c r="U23" s="258"/>
      <x:c r="V23" s="258"/>
      <x:c r="W23" s="258"/>
      <x:c r="X23" s="258"/>
      <x:c r="Y23" s="258"/>
      <x:c r="Z23" s="258"/>
    </x:row>
    <x:row r="24">
      <x:c r="A24" s="330"/>
      <x:c r="B24" s="331"/>
      <x:c r="C24" s="331"/>
      <x:c r="D24" s="331"/>
      <x:c r="E24" s="331"/>
      <x:c r="F24" s="331"/>
      <x:c r="G24" s="331" t="str">
        <x:f>IF(OR(D24="",E24=""),"",IF(D24&gt;E24,C24,IF(E24&gt;D24,F24,"Draw")))</x:f>
      </x:c>
      <x:c r="H24" s="332"/>
      <x:c r="I24" s="258"/>
      <x:c r="J24" s="258"/>
      <x:c r="K24" s="258"/>
      <x:c r="L24" s="258"/>
      <x:c r="M24" s="258"/>
      <x:c r="N24" s="258"/>
      <x:c r="O24" s="258"/>
      <x:c r="P24" s="258"/>
      <x:c r="Q24" s="258"/>
      <x:c r="R24" s="258"/>
      <x:c r="S24" s="258"/>
      <x:c r="T24" s="258"/>
      <x:c r="U24" s="258"/>
      <x:c r="V24" s="258"/>
      <x:c r="W24" s="258"/>
      <x:c r="X24" s="258"/>
      <x:c r="Y24" s="258"/>
      <x:c r="Z24" s="258"/>
    </x:row>
    <x:row r="25">
      <x:c r="A25" s="330"/>
      <x:c r="B25" s="331"/>
      <x:c r="C25" s="331"/>
      <x:c r="D25" s="331"/>
      <x:c r="E25" s="331"/>
      <x:c r="F25" s="331"/>
      <x:c r="G25" s="331" t="str">
        <x:f>IF(OR(D25="",E25=""),"",IF(D25&gt;E25,C25,IF(E25&gt;D25,F25,"Draw")))</x:f>
      </x:c>
      <x:c r="H25" s="332"/>
      <x:c r="I25" s="258"/>
      <x:c r="J25" s="258"/>
      <x:c r="K25" s="258"/>
      <x:c r="L25" s="258"/>
      <x:c r="M25" s="258"/>
      <x:c r="N25" s="258"/>
      <x:c r="O25" s="258"/>
      <x:c r="P25" s="258"/>
      <x:c r="Q25" s="258"/>
      <x:c r="R25" s="258"/>
      <x:c r="S25" s="258"/>
      <x:c r="T25" s="258"/>
      <x:c r="U25" s="258"/>
      <x:c r="V25" s="258"/>
      <x:c r="W25" s="258"/>
      <x:c r="X25" s="258"/>
      <x:c r="Y25" s="258"/>
      <x:c r="Z25" s="258"/>
    </x:row>
    <x:row r="26">
      <x:c r="A26" s="330"/>
      <x:c r="B26" s="331"/>
      <x:c r="C26" s="331"/>
      <x:c r="D26" s="331"/>
      <x:c r="E26" s="331"/>
      <x:c r="F26" s="331"/>
      <x:c r="G26" s="331" t="str">
        <x:f>IF(OR(D26="",E26=""),"",IF(D26&gt;E26,C26,IF(E26&gt;D26,F26,"Draw")))</x:f>
      </x:c>
      <x:c r="H26" s="332"/>
      <x:c r="I26" s="258"/>
      <x:c r="J26" s="258"/>
      <x:c r="K26" s="258"/>
      <x:c r="L26" s="258"/>
      <x:c r="M26" s="258"/>
      <x:c r="N26" s="258"/>
      <x:c r="O26" s="258"/>
      <x:c r="P26" s="258"/>
      <x:c r="Q26" s="258"/>
      <x:c r="R26" s="258"/>
      <x:c r="S26" s="258"/>
      <x:c r="T26" s="258"/>
      <x:c r="U26" s="258"/>
      <x:c r="V26" s="258"/>
      <x:c r="W26" s="258"/>
      <x:c r="X26" s="258"/>
      <x:c r="Y26" s="258"/>
      <x:c r="Z26" s="258"/>
    </x:row>
    <x:row r="27">
      <x:c r="A27" s="330"/>
      <x:c r="B27" s="331"/>
      <x:c r="C27" s="331"/>
      <x:c r="D27" s="331"/>
      <x:c r="E27" s="331"/>
      <x:c r="F27" s="331"/>
      <x:c r="G27" s="331" t="str">
        <x:f>IF(OR(D27="",E27=""),"",IF(D27&gt;E27,C27,IF(E27&gt;D27,F27,"Draw")))</x:f>
      </x:c>
      <x:c r="H27" s="332"/>
      <x:c r="I27" s="258"/>
      <x:c r="J27" s="258"/>
      <x:c r="K27" s="258"/>
      <x:c r="L27" s="258"/>
      <x:c r="M27" s="258"/>
      <x:c r="N27" s="258"/>
      <x:c r="O27" s="258"/>
      <x:c r="P27" s="258"/>
      <x:c r="Q27" s="258"/>
      <x:c r="R27" s="258"/>
      <x:c r="S27" s="258"/>
      <x:c r="T27" s="258"/>
      <x:c r="U27" s="258"/>
      <x:c r="V27" s="258"/>
      <x:c r="W27" s="258"/>
      <x:c r="X27" s="258"/>
      <x:c r="Y27" s="258"/>
      <x:c r="Z27" s="258"/>
    </x:row>
    <x:row r="28">
      <x:c r="A28" s="330"/>
      <x:c r="B28" s="331"/>
      <x:c r="C28" s="331"/>
      <x:c r="D28" s="331"/>
      <x:c r="E28" s="331"/>
      <x:c r="F28" s="331"/>
      <x:c r="G28" s="331" t="str">
        <x:f>IF(OR(D28="",E28=""),"",IF(D28&gt;E28,C28,IF(E28&gt;D28,F28,"Draw")))</x:f>
      </x:c>
      <x:c r="H28" s="332"/>
      <x:c r="I28" s="258"/>
      <x:c r="J28" s="258"/>
      <x:c r="K28" s="258"/>
      <x:c r="L28" s="258"/>
      <x:c r="M28" s="258"/>
      <x:c r="N28" s="258"/>
      <x:c r="O28" s="258"/>
      <x:c r="P28" s="258"/>
      <x:c r="Q28" s="258"/>
      <x:c r="R28" s="258"/>
      <x:c r="S28" s="258"/>
      <x:c r="T28" s="258"/>
      <x:c r="U28" s="258"/>
      <x:c r="V28" s="258"/>
      <x:c r="W28" s="258"/>
      <x:c r="X28" s="258"/>
      <x:c r="Y28" s="258"/>
      <x:c r="Z28" s="258"/>
    </x:row>
    <x:row r="29">
      <x:c r="A29" s="330"/>
      <x:c r="B29" s="331"/>
      <x:c r="C29" s="331"/>
      <x:c r="D29" s="331"/>
      <x:c r="E29" s="331"/>
      <x:c r="F29" s="331"/>
      <x:c r="G29" s="331" t="str">
        <x:f>IF(OR(D29="",E29=""),"",IF(D29&gt;E29,C29,IF(E29&gt;D29,F29,"Draw")))</x:f>
      </x:c>
      <x:c r="H29" s="332"/>
      <x:c r="I29" s="258"/>
      <x:c r="J29" s="258"/>
      <x:c r="K29" s="258"/>
      <x:c r="L29" s="258"/>
      <x:c r="M29" s="258"/>
      <x:c r="N29" s="258"/>
      <x:c r="O29" s="258"/>
      <x:c r="P29" s="258"/>
      <x:c r="Q29" s="258"/>
      <x:c r="R29" s="258"/>
      <x:c r="S29" s="258"/>
      <x:c r="T29" s="258"/>
      <x:c r="U29" s="258"/>
      <x:c r="V29" s="258"/>
      <x:c r="W29" s="258"/>
      <x:c r="X29" s="258"/>
      <x:c r="Y29" s="258"/>
      <x:c r="Z29" s="258"/>
    </x:row>
    <x:row r="30">
      <x:c r="A30" s="330"/>
      <x:c r="B30" s="331"/>
      <x:c r="C30" s="331"/>
      <x:c r="D30" s="331"/>
      <x:c r="E30" s="331"/>
      <x:c r="F30" s="331"/>
      <x:c r="G30" s="331" t="str">
        <x:f>IF(OR(D30="",E30=""),"",IF(D30&gt;E30,C30,IF(E30&gt;D30,F30,"Draw")))</x:f>
      </x:c>
      <x:c r="H30" s="332"/>
      <x:c r="I30" s="258"/>
      <x:c r="J30" s="258"/>
      <x:c r="K30" s="258"/>
      <x:c r="L30" s="258"/>
      <x:c r="M30" s="258"/>
      <x:c r="N30" s="258"/>
      <x:c r="O30" s="258"/>
      <x:c r="P30" s="258"/>
      <x:c r="Q30" s="258"/>
      <x:c r="R30" s="258"/>
      <x:c r="S30" s="258"/>
      <x:c r="T30" s="258"/>
      <x:c r="U30" s="258"/>
      <x:c r="V30" s="258"/>
      <x:c r="W30" s="258"/>
      <x:c r="X30" s="258"/>
      <x:c r="Y30" s="258"/>
      <x:c r="Z30" s="258"/>
    </x:row>
    <x:row r="31">
      <x:c r="A31" s="330"/>
      <x:c r="B31" s="331"/>
      <x:c r="C31" s="331"/>
      <x:c r="D31" s="331"/>
      <x:c r="E31" s="331"/>
      <x:c r="F31" s="331"/>
      <x:c r="G31" s="331" t="str">
        <x:f>IF(OR(D31="",E31=""),"",IF(D31&gt;E31,C31,IF(E31&gt;D31,F31,"Draw")))</x:f>
      </x:c>
      <x:c r="H31" s="332"/>
      <x:c r="I31" s="258"/>
      <x:c r="J31" s="258"/>
      <x:c r="K31" s="258"/>
      <x:c r="L31" s="258"/>
      <x:c r="M31" s="258"/>
      <x:c r="N31" s="258"/>
      <x:c r="O31" s="258"/>
      <x:c r="P31" s="258"/>
      <x:c r="Q31" s="258"/>
      <x:c r="R31" s="258"/>
      <x:c r="S31" s="258"/>
      <x:c r="T31" s="258"/>
      <x:c r="U31" s="258"/>
      <x:c r="V31" s="258"/>
      <x:c r="W31" s="258"/>
      <x:c r="X31" s="258"/>
      <x:c r="Y31" s="258"/>
      <x:c r="Z31" s="258"/>
    </x:row>
    <x:row r="32">
      <x:c r="A32" s="330"/>
      <x:c r="B32" s="331"/>
      <x:c r="C32" s="331"/>
      <x:c r="D32" s="331"/>
      <x:c r="E32" s="331"/>
      <x:c r="F32" s="331"/>
      <x:c r="G32" s="331" t="str">
        <x:f>IF(OR(D32="",E32=""),"",IF(D32&gt;E32,C32,IF(E32&gt;D32,F32,"Draw")))</x:f>
      </x:c>
      <x:c r="H32" s="332"/>
      <x:c r="I32" s="258"/>
      <x:c r="J32" s="258"/>
      <x:c r="K32" s="258"/>
      <x:c r="L32" s="258"/>
      <x:c r="M32" s="258"/>
      <x:c r="N32" s="258"/>
      <x:c r="O32" s="258"/>
      <x:c r="P32" s="258"/>
      <x:c r="Q32" s="258"/>
      <x:c r="R32" s="258"/>
      <x:c r="S32" s="258"/>
      <x:c r="T32" s="258"/>
      <x:c r="U32" s="258"/>
      <x:c r="V32" s="258"/>
      <x:c r="W32" s="258"/>
      <x:c r="X32" s="258"/>
      <x:c r="Y32" s="258"/>
      <x:c r="Z32" s="258"/>
    </x:row>
    <x:row r="33">
      <x:c r="A33" s="330"/>
      <x:c r="B33" s="331"/>
      <x:c r="C33" s="331"/>
      <x:c r="D33" s="331"/>
      <x:c r="E33" s="331"/>
      <x:c r="F33" s="331"/>
      <x:c r="G33" s="331" t="str">
        <x:f>IF(OR(D33="",E33=""),"",IF(D33&gt;E33,C33,IF(E33&gt;D33,F33,"Draw")))</x:f>
      </x:c>
      <x:c r="H33" s="332"/>
      <x:c r="I33" s="258"/>
      <x:c r="J33" s="258"/>
      <x:c r="K33" s="258"/>
      <x:c r="L33" s="258"/>
      <x:c r="M33" s="258"/>
      <x:c r="N33" s="258"/>
      <x:c r="O33" s="258"/>
      <x:c r="P33" s="258"/>
      <x:c r="Q33" s="258"/>
      <x:c r="R33" s="258"/>
      <x:c r="S33" s="258"/>
      <x:c r="T33" s="258"/>
      <x:c r="U33" s="258"/>
      <x:c r="V33" s="258"/>
      <x:c r="W33" s="258"/>
      <x:c r="X33" s="258"/>
      <x:c r="Y33" s="258"/>
      <x:c r="Z33" s="258"/>
    </x:row>
    <x:row r="34">
      <x:c r="A34" s="330"/>
      <x:c r="B34" s="331"/>
      <x:c r="C34" s="331"/>
      <x:c r="D34" s="331"/>
      <x:c r="E34" s="331"/>
      <x:c r="F34" s="331"/>
      <x:c r="G34" s="331" t="str">
        <x:f>IF(OR(D34="",E34=""),"",IF(D34&gt;E34,C34,IF(E34&gt;D34,F34,"Draw")))</x:f>
      </x:c>
      <x:c r="H34" s="332"/>
      <x:c r="I34" s="258"/>
      <x:c r="J34" s="258"/>
      <x:c r="K34" s="258"/>
      <x:c r="L34" s="258"/>
      <x:c r="M34" s="258"/>
      <x:c r="N34" s="258"/>
      <x:c r="O34" s="258"/>
      <x:c r="P34" s="258"/>
      <x:c r="Q34" s="258"/>
      <x:c r="R34" s="258"/>
      <x:c r="S34" s="258"/>
      <x:c r="T34" s="258"/>
      <x:c r="U34" s="258"/>
      <x:c r="V34" s="258"/>
      <x:c r="W34" s="258"/>
      <x:c r="X34" s="258"/>
      <x:c r="Y34" s="258"/>
      <x:c r="Z34" s="258"/>
    </x:row>
    <x:row r="35">
      <x:c r="A35" s="330"/>
      <x:c r="B35" s="331"/>
      <x:c r="C35" s="331"/>
      <x:c r="D35" s="331"/>
      <x:c r="E35" s="331"/>
      <x:c r="F35" s="331"/>
      <x:c r="G35" s="331" t="str">
        <x:f>IF(OR(D35="",E35=""),"",IF(D35&gt;E35,C35,IF(E35&gt;D35,F35,"Draw")))</x:f>
      </x:c>
      <x:c r="H35" s="332"/>
      <x:c r="I35" s="258"/>
      <x:c r="J35" s="258"/>
      <x:c r="K35" s="258"/>
      <x:c r="L35" s="258"/>
      <x:c r="M35" s="258"/>
      <x:c r="N35" s="258"/>
      <x:c r="O35" s="258"/>
      <x:c r="P35" s="258"/>
      <x:c r="Q35" s="258"/>
      <x:c r="R35" s="258"/>
      <x:c r="S35" s="258"/>
      <x:c r="T35" s="258"/>
      <x:c r="U35" s="258"/>
      <x:c r="V35" s="258"/>
      <x:c r="W35" s="258"/>
      <x:c r="X35" s="258"/>
      <x:c r="Y35" s="258"/>
      <x:c r="Z35" s="258"/>
    </x:row>
    <x:row r="36">
      <x:c r="A36" s="330"/>
      <x:c r="B36" s="331"/>
      <x:c r="C36" s="331"/>
      <x:c r="D36" s="331"/>
      <x:c r="E36" s="331"/>
      <x:c r="F36" s="331"/>
      <x:c r="G36" s="331" t="str">
        <x:f>IF(OR(D36="",E36=""),"",IF(D36&gt;E36,C36,IF(E36&gt;D36,F36,"Draw")))</x:f>
      </x:c>
      <x:c r="H36" s="332"/>
      <x:c r="I36" s="258"/>
      <x:c r="J36" s="258"/>
      <x:c r="K36" s="258"/>
      <x:c r="L36" s="258"/>
      <x:c r="M36" s="258"/>
      <x:c r="N36" s="258"/>
      <x:c r="O36" s="258"/>
      <x:c r="P36" s="258"/>
      <x:c r="Q36" s="258"/>
      <x:c r="R36" s="258"/>
      <x:c r="S36" s="258"/>
      <x:c r="T36" s="258"/>
      <x:c r="U36" s="258"/>
      <x:c r="V36" s="258"/>
      <x:c r="W36" s="258"/>
      <x:c r="X36" s="258"/>
      <x:c r="Y36" s="258"/>
      <x:c r="Z36" s="258"/>
    </x:row>
    <x:row r="37">
      <x:c r="A37" s="330"/>
      <x:c r="B37" s="331"/>
      <x:c r="C37" s="331"/>
      <x:c r="D37" s="331"/>
      <x:c r="E37" s="331"/>
      <x:c r="F37" s="331"/>
      <x:c r="G37" s="331" t="str">
        <x:f>IF(OR(D37="",E37=""),"",IF(D37&gt;E37,C37,IF(E37&gt;D37,F37,"Draw")))</x:f>
      </x:c>
      <x:c r="H37" s="332"/>
      <x:c r="I37" s="258"/>
      <x:c r="J37" s="258"/>
      <x:c r="K37" s="258"/>
      <x:c r="L37" s="258"/>
      <x:c r="M37" s="258"/>
      <x:c r="N37" s="258"/>
      <x:c r="O37" s="258"/>
      <x:c r="P37" s="258"/>
      <x:c r="Q37" s="258"/>
      <x:c r="R37" s="258"/>
      <x:c r="S37" s="258"/>
      <x:c r="T37" s="258"/>
      <x:c r="U37" s="258"/>
      <x:c r="V37" s="258"/>
      <x:c r="W37" s="258"/>
      <x:c r="X37" s="258"/>
      <x:c r="Y37" s="258"/>
      <x:c r="Z37" s="258"/>
    </x:row>
    <x:row r="38">
      <x:c r="A38" s="330"/>
      <x:c r="B38" s="331"/>
      <x:c r="C38" s="331"/>
      <x:c r="D38" s="331"/>
      <x:c r="E38" s="331"/>
      <x:c r="F38" s="331"/>
      <x:c r="G38" s="331" t="str">
        <x:f>IF(OR(D38="",E38=""),"",IF(D38&gt;E38,C38,IF(E38&gt;D38,F38,"Draw")))</x:f>
      </x:c>
      <x:c r="H38" s="332"/>
      <x:c r="I38" s="258"/>
      <x:c r="J38" s="258"/>
      <x:c r="K38" s="258"/>
      <x:c r="L38" s="258"/>
      <x:c r="M38" s="258"/>
      <x:c r="N38" s="258"/>
      <x:c r="O38" s="258"/>
      <x:c r="P38" s="258"/>
      <x:c r="Q38" s="258"/>
      <x:c r="R38" s="258"/>
      <x:c r="S38" s="258"/>
      <x:c r="T38" s="258"/>
      <x:c r="U38" s="258"/>
      <x:c r="V38" s="258"/>
      <x:c r="W38" s="258"/>
      <x:c r="X38" s="258"/>
      <x:c r="Y38" s="258"/>
      <x:c r="Z38" s="258"/>
    </x:row>
    <x:row r="39">
      <x:c r="A39" s="330"/>
      <x:c r="B39" s="331"/>
      <x:c r="C39" s="331"/>
      <x:c r="D39" s="331"/>
      <x:c r="E39" s="331"/>
      <x:c r="F39" s="331"/>
      <x:c r="G39" s="331" t="str">
        <x:f>IF(OR(D39="",E39=""),"",IF(D39&gt;E39,C39,IF(E39&gt;D39,F39,"Draw")))</x:f>
      </x:c>
      <x:c r="H39" s="332"/>
      <x:c r="I39" s="258"/>
      <x:c r="J39" s="258"/>
      <x:c r="K39" s="258"/>
      <x:c r="L39" s="258"/>
      <x:c r="M39" s="258"/>
      <x:c r="N39" s="258"/>
      <x:c r="O39" s="258"/>
      <x:c r="P39" s="258"/>
      <x:c r="Q39" s="258"/>
      <x:c r="R39" s="258"/>
      <x:c r="S39" s="258"/>
      <x:c r="T39" s="258"/>
      <x:c r="U39" s="258"/>
      <x:c r="V39" s="258"/>
      <x:c r="W39" s="258"/>
      <x:c r="X39" s="258"/>
      <x:c r="Y39" s="258"/>
      <x:c r="Z39" s="258"/>
    </x:row>
    <x:row r="40">
      <x:c r="A40" s="330"/>
      <x:c r="B40" s="331"/>
      <x:c r="C40" s="331"/>
      <x:c r="D40" s="331"/>
      <x:c r="E40" s="331"/>
      <x:c r="F40" s="331"/>
      <x:c r="G40" s="331" t="str">
        <x:f>IF(OR(D40="",E40=""),"",IF(D40&gt;E40,C40,IF(E40&gt;D40,F40,"Draw")))</x:f>
      </x:c>
      <x:c r="H40" s="332"/>
      <x:c r="I40" s="258"/>
      <x:c r="J40" s="258"/>
      <x:c r="K40" s="258"/>
      <x:c r="L40" s="258"/>
      <x:c r="M40" s="258"/>
      <x:c r="N40" s="258"/>
      <x:c r="O40" s="258"/>
      <x:c r="P40" s="258"/>
      <x:c r="Q40" s="258"/>
      <x:c r="R40" s="258"/>
      <x:c r="S40" s="258"/>
      <x:c r="T40" s="258"/>
      <x:c r="U40" s="258"/>
      <x:c r="V40" s="258"/>
      <x:c r="W40" s="258"/>
      <x:c r="X40" s="258"/>
      <x:c r="Y40" s="258"/>
      <x:c r="Z40" s="258"/>
    </x:row>
    <x:row r="41">
      <x:c r="A41" s="330"/>
      <x:c r="B41" s="331"/>
      <x:c r="C41" s="331"/>
      <x:c r="D41" s="331"/>
      <x:c r="E41" s="331"/>
      <x:c r="F41" s="331"/>
      <x:c r="G41" s="331" t="str">
        <x:f>IF(OR(D41="",E41=""),"",IF(D41&gt;E41,C41,IF(E41&gt;D41,F41,"Draw")))</x:f>
      </x:c>
      <x:c r="H41" s="332"/>
      <x:c r="I41" s="258"/>
      <x:c r="J41" s="258"/>
      <x:c r="K41" s="258"/>
      <x:c r="L41" s="258"/>
      <x:c r="M41" s="258"/>
      <x:c r="N41" s="258"/>
      <x:c r="O41" s="258"/>
      <x:c r="P41" s="258"/>
      <x:c r="Q41" s="258"/>
      <x:c r="R41" s="258"/>
      <x:c r="S41" s="258"/>
      <x:c r="T41" s="258"/>
      <x:c r="U41" s="258"/>
      <x:c r="V41" s="258"/>
      <x:c r="W41" s="258"/>
      <x:c r="X41" s="258"/>
      <x:c r="Y41" s="258"/>
      <x:c r="Z41" s="258"/>
    </x:row>
    <x:row r="42">
      <x:c r="A42" s="330"/>
      <x:c r="B42" s="331"/>
      <x:c r="C42" s="331"/>
      <x:c r="D42" s="331"/>
      <x:c r="E42" s="331"/>
      <x:c r="F42" s="331"/>
      <x:c r="G42" s="331" t="str">
        <x:f>IF(OR(D42="",E42=""),"",IF(D42&gt;E42,C42,IF(E42&gt;D42,F42,"Draw")))</x:f>
      </x:c>
      <x:c r="H42" s="332"/>
      <x:c r="I42" s="258"/>
      <x:c r="J42" s="258"/>
      <x:c r="K42" s="258"/>
      <x:c r="L42" s="258"/>
      <x:c r="M42" s="258"/>
      <x:c r="N42" s="258"/>
      <x:c r="O42" s="258"/>
      <x:c r="P42" s="258"/>
      <x:c r="Q42" s="258"/>
      <x:c r="R42" s="258"/>
      <x:c r="S42" s="258"/>
      <x:c r="T42" s="258"/>
      <x:c r="U42" s="258"/>
      <x:c r="V42" s="258"/>
      <x:c r="W42" s="258"/>
      <x:c r="X42" s="258"/>
      <x:c r="Y42" s="258"/>
      <x:c r="Z42" s="258"/>
    </x:row>
    <x:row r="43">
      <x:c r="A43" s="330"/>
      <x:c r="B43" s="331"/>
      <x:c r="C43" s="331"/>
      <x:c r="D43" s="331"/>
      <x:c r="E43" s="331"/>
      <x:c r="F43" s="331"/>
      <x:c r="G43" s="331" t="str">
        <x:f>IF(OR(D43="",E43=""),"",IF(D43&gt;E43,C43,IF(E43&gt;D43,F43,"Draw")))</x:f>
      </x:c>
      <x:c r="H43" s="332"/>
      <x:c r="I43" s="258"/>
      <x:c r="J43" s="258"/>
      <x:c r="K43" s="258"/>
      <x:c r="L43" s="258"/>
      <x:c r="M43" s="258"/>
      <x:c r="N43" s="258"/>
      <x:c r="O43" s="258"/>
      <x:c r="P43" s="258"/>
      <x:c r="Q43" s="258"/>
      <x:c r="R43" s="258"/>
      <x:c r="S43" s="258"/>
      <x:c r="T43" s="258"/>
      <x:c r="U43" s="258"/>
      <x:c r="V43" s="258"/>
      <x:c r="W43" s="258"/>
      <x:c r="X43" s="258"/>
      <x:c r="Y43" s="258"/>
      <x:c r="Z43" s="258"/>
    </x:row>
    <x:row r="44">
      <x:c r="A44" s="330"/>
      <x:c r="B44" s="331"/>
      <x:c r="C44" s="331"/>
      <x:c r="D44" s="331"/>
      <x:c r="E44" s="331"/>
      <x:c r="F44" s="331"/>
      <x:c r="G44" s="331" t="str">
        <x:f>IF(OR(D44="",E44=""),"",IF(D44&gt;E44,C44,IF(E44&gt;D44,F44,"Draw")))</x:f>
      </x:c>
      <x:c r="H44" s="332"/>
      <x:c r="I44" s="258"/>
      <x:c r="J44" s="258"/>
      <x:c r="K44" s="258"/>
      <x:c r="L44" s="258"/>
      <x:c r="M44" s="258"/>
      <x:c r="N44" s="258"/>
      <x:c r="O44" s="258"/>
      <x:c r="P44" s="258"/>
      <x:c r="Q44" s="258"/>
      <x:c r="R44" s="258"/>
      <x:c r="S44" s="258"/>
      <x:c r="T44" s="258"/>
      <x:c r="U44" s="258"/>
      <x:c r="V44" s="258"/>
      <x:c r="W44" s="258"/>
      <x:c r="X44" s="258"/>
      <x:c r="Y44" s="258"/>
      <x:c r="Z44" s="258"/>
    </x:row>
    <x:row r="45">
      <x:c r="A45" s="330"/>
      <x:c r="B45" s="331"/>
      <x:c r="C45" s="331"/>
      <x:c r="D45" s="331"/>
      <x:c r="E45" s="331"/>
      <x:c r="F45" s="331"/>
      <x:c r="G45" s="331" t="str">
        <x:f>IF(OR(D45="",E45=""),"",IF(D45&gt;E45,C45,IF(E45&gt;D45,F45,"Draw")))</x:f>
      </x:c>
      <x:c r="H45" s="332"/>
      <x:c r="I45" s="258"/>
      <x:c r="J45" s="258"/>
      <x:c r="K45" s="258"/>
      <x:c r="L45" s="258"/>
      <x:c r="M45" s="258"/>
      <x:c r="N45" s="258"/>
      <x:c r="O45" s="258"/>
      <x:c r="P45" s="258"/>
      <x:c r="Q45" s="258"/>
      <x:c r="R45" s="258"/>
      <x:c r="S45" s="258"/>
      <x:c r="T45" s="258"/>
      <x:c r="U45" s="258"/>
      <x:c r="V45" s="258"/>
      <x:c r="W45" s="258"/>
      <x:c r="X45" s="258"/>
      <x:c r="Y45" s="258"/>
      <x:c r="Z45" s="258"/>
    </x:row>
    <x:row r="46">
      <x:c r="A46" s="330"/>
      <x:c r="B46" s="331"/>
      <x:c r="C46" s="331"/>
      <x:c r="D46" s="331"/>
      <x:c r="E46" s="331"/>
      <x:c r="F46" s="331"/>
      <x:c r="G46" s="331" t="str">
        <x:f>IF(OR(D46="",E46=""),"",IF(D46&gt;E46,C46,IF(E46&gt;D46,F46,"Draw")))</x:f>
      </x:c>
      <x:c r="H46" s="332"/>
      <x:c r="I46" s="258"/>
      <x:c r="J46" s="258"/>
      <x:c r="K46" s="258"/>
      <x:c r="L46" s="258"/>
      <x:c r="M46" s="258"/>
      <x:c r="N46" s="258"/>
      <x:c r="O46" s="258"/>
      <x:c r="P46" s="258"/>
      <x:c r="Q46" s="258"/>
      <x:c r="R46" s="258"/>
      <x:c r="S46" s="258"/>
      <x:c r="T46" s="258"/>
      <x:c r="U46" s="258"/>
      <x:c r="V46" s="258"/>
      <x:c r="W46" s="258"/>
      <x:c r="X46" s="258"/>
      <x:c r="Y46" s="258"/>
      <x:c r="Z46" s="258"/>
    </x:row>
    <x:row r="47">
      <x:c r="A47" s="330"/>
      <x:c r="B47" s="331"/>
      <x:c r="C47" s="331"/>
      <x:c r="D47" s="331"/>
      <x:c r="E47" s="331"/>
      <x:c r="F47" s="331"/>
      <x:c r="G47" s="331" t="str">
        <x:f>IF(OR(D47="",E47=""),"",IF(D47&gt;E47,C47,IF(E47&gt;D47,F47,"Draw")))</x:f>
      </x:c>
      <x:c r="H47" s="332"/>
      <x:c r="I47" s="258"/>
      <x:c r="J47" s="258"/>
      <x:c r="K47" s="258"/>
      <x:c r="L47" s="258"/>
      <x:c r="M47" s="258"/>
      <x:c r="N47" s="258"/>
      <x:c r="O47" s="258"/>
      <x:c r="P47" s="258"/>
      <x:c r="Q47" s="258"/>
      <x:c r="R47" s="258"/>
      <x:c r="S47" s="258"/>
      <x:c r="T47" s="258"/>
      <x:c r="U47" s="258"/>
      <x:c r="V47" s="258"/>
      <x:c r="W47" s="258"/>
      <x:c r="X47" s="258"/>
      <x:c r="Y47" s="258"/>
      <x:c r="Z47" s="258"/>
    </x:row>
    <x:row r="48">
      <x:c r="A48" s="330"/>
      <x:c r="B48" s="331"/>
      <x:c r="C48" s="331"/>
      <x:c r="D48" s="331"/>
      <x:c r="E48" s="331"/>
      <x:c r="F48" s="331"/>
      <x:c r="G48" s="331" t="str">
        <x:f>IF(OR(D48="",E48=""),"",IF(D48&gt;E48,C48,IF(E48&gt;D48,F48,"Draw")))</x:f>
      </x:c>
      <x:c r="H48" s="332"/>
      <x:c r="I48" s="258"/>
      <x:c r="J48" s="258"/>
      <x:c r="K48" s="258"/>
      <x:c r="L48" s="258"/>
      <x:c r="M48" s="258"/>
      <x:c r="N48" s="258"/>
      <x:c r="O48" s="258"/>
      <x:c r="P48" s="258"/>
      <x:c r="Q48" s="258"/>
      <x:c r="R48" s="258"/>
      <x:c r="S48" s="258"/>
      <x:c r="T48" s="258"/>
      <x:c r="U48" s="258"/>
      <x:c r="V48" s="258"/>
      <x:c r="W48" s="258"/>
      <x:c r="X48" s="258"/>
      <x:c r="Y48" s="258"/>
      <x:c r="Z48" s="258"/>
    </x:row>
    <x:row r="49">
      <x:c r="A49" s="330"/>
      <x:c r="B49" s="331"/>
      <x:c r="C49" s="331"/>
      <x:c r="D49" s="331"/>
      <x:c r="E49" s="331"/>
      <x:c r="F49" s="331"/>
      <x:c r="G49" s="331" t="str">
        <x:f>IF(OR(D49="",E49=""),"",IF(D49&gt;E49,C49,IF(E49&gt;D49,F49,"Draw")))</x:f>
      </x:c>
      <x:c r="H49" s="332"/>
      <x:c r="I49" s="258"/>
      <x:c r="J49" s="258"/>
      <x:c r="K49" s="258"/>
      <x:c r="L49" s="258"/>
      <x:c r="M49" s="258"/>
      <x:c r="N49" s="258"/>
      <x:c r="O49" s="258"/>
      <x:c r="P49" s="258"/>
      <x:c r="Q49" s="258"/>
      <x:c r="R49" s="258"/>
      <x:c r="S49" s="258"/>
      <x:c r="T49" s="258"/>
      <x:c r="U49" s="258"/>
      <x:c r="V49" s="258"/>
      <x:c r="W49" s="258"/>
      <x:c r="X49" s="258"/>
      <x:c r="Y49" s="258"/>
      <x:c r="Z49" s="258"/>
    </x:row>
    <x:row r="50">
      <x:c r="A50" s="330"/>
      <x:c r="B50" s="331"/>
      <x:c r="C50" s="331"/>
      <x:c r="D50" s="331"/>
      <x:c r="E50" s="331"/>
      <x:c r="F50" s="331"/>
      <x:c r="G50" s="331" t="str">
        <x:f>IF(OR(D50="",E50=""),"",IF(D50&gt;E50,C50,IF(E50&gt;D50,F50,"Draw")))</x:f>
      </x:c>
      <x:c r="H50" s="332"/>
      <x:c r="I50" s="258"/>
      <x:c r="J50" s="258"/>
      <x:c r="K50" s="258"/>
      <x:c r="L50" s="258"/>
      <x:c r="M50" s="258"/>
      <x:c r="N50" s="258"/>
      <x:c r="O50" s="258"/>
      <x:c r="P50" s="258"/>
      <x:c r="Q50" s="258"/>
      <x:c r="R50" s="258"/>
      <x:c r="S50" s="258"/>
      <x:c r="T50" s="258"/>
      <x:c r="U50" s="258"/>
      <x:c r="V50" s="258"/>
      <x:c r="W50" s="258"/>
      <x:c r="X50" s="258"/>
      <x:c r="Y50" s="258"/>
      <x:c r="Z50" s="258"/>
    </x:row>
    <x:row r="51">
      <x:c r="A51" s="330"/>
      <x:c r="B51" s="331"/>
      <x:c r="C51" s="331"/>
      <x:c r="D51" s="331"/>
      <x:c r="E51" s="331"/>
      <x:c r="F51" s="331"/>
      <x:c r="G51" s="331" t="str">
        <x:f>IF(OR(D51="",E51=""),"",IF(D51&gt;E51,C51,IF(E51&gt;D51,F51,"Draw")))</x:f>
      </x:c>
      <x:c r="H51" s="332"/>
      <x:c r="I51" s="258"/>
      <x:c r="J51" s="258"/>
      <x:c r="K51" s="258"/>
      <x:c r="L51" s="258"/>
      <x:c r="M51" s="258"/>
      <x:c r="N51" s="258"/>
      <x:c r="O51" s="258"/>
      <x:c r="P51" s="258"/>
      <x:c r="Q51" s="258"/>
      <x:c r="R51" s="258"/>
      <x:c r="S51" s="258"/>
      <x:c r="T51" s="258"/>
      <x:c r="U51" s="258"/>
      <x:c r="V51" s="258"/>
      <x:c r="W51" s="258"/>
      <x:c r="X51" s="258"/>
      <x:c r="Y51" s="258"/>
      <x:c r="Z51" s="258"/>
    </x:row>
    <x:row r="52">
      <x:c r="A52" s="330"/>
      <x:c r="B52" s="331"/>
      <x:c r="C52" s="331"/>
      <x:c r="D52" s="331"/>
      <x:c r="E52" s="331"/>
      <x:c r="F52" s="331"/>
      <x:c r="G52" s="331" t="str">
        <x:f>IF(OR(D52="",E52=""),"",IF(D52&gt;E52,C52,IF(E52&gt;D52,F52,"Draw")))</x:f>
      </x:c>
      <x:c r="H52" s="332"/>
      <x:c r="I52" s="258"/>
      <x:c r="J52" s="258"/>
      <x:c r="K52" s="258"/>
      <x:c r="L52" s="258"/>
      <x:c r="M52" s="258"/>
      <x:c r="N52" s="258"/>
      <x:c r="O52" s="258"/>
      <x:c r="P52" s="258"/>
      <x:c r="Q52" s="258"/>
      <x:c r="R52" s="258"/>
      <x:c r="S52" s="258"/>
      <x:c r="T52" s="258"/>
      <x:c r="U52" s="258"/>
      <x:c r="V52" s="258"/>
      <x:c r="W52" s="258"/>
      <x:c r="X52" s="258"/>
      <x:c r="Y52" s="258"/>
      <x:c r="Z52" s="258"/>
    </x:row>
    <x:row r="53">
      <x:c r="A53" s="330"/>
      <x:c r="B53" s="331"/>
      <x:c r="C53" s="331"/>
      <x:c r="D53" s="331"/>
      <x:c r="E53" s="331"/>
      <x:c r="F53" s="331"/>
      <x:c r="G53" s="331" t="str">
        <x:f>IF(OR(D53="",E53=""),"",IF(D53&gt;E53,C53,IF(E53&gt;D53,F53,"Draw")))</x:f>
      </x:c>
      <x:c r="H53" s="332"/>
      <x:c r="I53" s="258"/>
      <x:c r="J53" s="258"/>
      <x:c r="K53" s="258"/>
      <x:c r="L53" s="258"/>
      <x:c r="M53" s="258"/>
      <x:c r="N53" s="258"/>
      <x:c r="O53" s="258"/>
      <x:c r="P53" s="258"/>
      <x:c r="Q53" s="258"/>
      <x:c r="R53" s="258"/>
      <x:c r="S53" s="258"/>
      <x:c r="T53" s="258"/>
      <x:c r="U53" s="258"/>
      <x:c r="V53" s="258"/>
      <x:c r="W53" s="258"/>
      <x:c r="X53" s="258"/>
      <x:c r="Y53" s="258"/>
      <x:c r="Z53" s="258"/>
    </x:row>
    <x:row r="54">
      <x:c r="A54" s="330"/>
      <x:c r="B54" s="331"/>
      <x:c r="C54" s="331"/>
      <x:c r="D54" s="331"/>
      <x:c r="E54" s="331"/>
      <x:c r="F54" s="331"/>
      <x:c r="G54" s="331" t="str">
        <x:f>IF(OR(D54="",E54=""),"",IF(D54&gt;E54,C54,IF(E54&gt;D54,F54,"Draw")))</x:f>
      </x:c>
      <x:c r="H54" s="332"/>
      <x:c r="I54" s="258"/>
      <x:c r="J54" s="258"/>
      <x:c r="K54" s="258"/>
      <x:c r="L54" s="258"/>
      <x:c r="M54" s="258"/>
      <x:c r="N54" s="258"/>
      <x:c r="O54" s="258"/>
      <x:c r="P54" s="258"/>
      <x:c r="Q54" s="258"/>
      <x:c r="R54" s="258"/>
      <x:c r="S54" s="258"/>
      <x:c r="T54" s="258"/>
      <x:c r="U54" s="258"/>
      <x:c r="V54" s="258"/>
      <x:c r="W54" s="258"/>
      <x:c r="X54" s="258"/>
      <x:c r="Y54" s="258"/>
      <x:c r="Z54" s="258"/>
    </x:row>
    <x:row r="55">
      <x:c r="A55" s="330"/>
      <x:c r="B55" s="331"/>
      <x:c r="C55" s="331"/>
      <x:c r="D55" s="331"/>
      <x:c r="E55" s="331"/>
      <x:c r="F55" s="331"/>
      <x:c r="G55" s="331" t="str">
        <x:f>IF(OR(D55="",E55=""),"",IF(D55&gt;E55,C55,IF(E55&gt;D55,F55,"Draw")))</x:f>
      </x:c>
      <x:c r="H55" s="332"/>
      <x:c r="I55" s="258"/>
      <x:c r="J55" s="258"/>
      <x:c r="K55" s="258"/>
      <x:c r="L55" s="258"/>
      <x:c r="M55" s="258"/>
      <x:c r="N55" s="258"/>
      <x:c r="O55" s="258"/>
      <x:c r="P55" s="258"/>
      <x:c r="Q55" s="258"/>
      <x:c r="R55" s="258"/>
      <x:c r="S55" s="258"/>
      <x:c r="T55" s="258"/>
      <x:c r="U55" s="258"/>
      <x:c r="V55" s="258"/>
      <x:c r="W55" s="258"/>
      <x:c r="X55" s="258"/>
      <x:c r="Y55" s="258"/>
      <x:c r="Z55" s="258"/>
    </x:row>
    <x:row r="56">
      <x:c r="A56" s="330"/>
      <x:c r="B56" s="331"/>
      <x:c r="C56" s="331"/>
      <x:c r="D56" s="331"/>
      <x:c r="E56" s="331"/>
      <x:c r="F56" s="331"/>
      <x:c r="G56" s="331" t="str">
        <x:f>IF(OR(D56="",E56=""),"",IF(D56&gt;E56,C56,IF(E56&gt;D56,F56,"Draw")))</x:f>
      </x:c>
      <x:c r="H56" s="332"/>
      <x:c r="I56" s="258"/>
      <x:c r="J56" s="258"/>
      <x:c r="K56" s="258"/>
      <x:c r="L56" s="258"/>
      <x:c r="M56" s="258"/>
      <x:c r="N56" s="258"/>
      <x:c r="O56" s="258"/>
      <x:c r="P56" s="258"/>
      <x:c r="Q56" s="258"/>
      <x:c r="R56" s="258"/>
      <x:c r="S56" s="258"/>
      <x:c r="T56" s="258"/>
      <x:c r="U56" s="258"/>
      <x:c r="V56" s="258"/>
      <x:c r="W56" s="258"/>
      <x:c r="X56" s="258"/>
      <x:c r="Y56" s="258"/>
      <x:c r="Z56" s="258"/>
    </x:row>
    <x:row r="57">
      <x:c r="A57" s="330"/>
      <x:c r="B57" s="331"/>
      <x:c r="C57" s="331"/>
      <x:c r="D57" s="331"/>
      <x:c r="E57" s="331"/>
      <x:c r="F57" s="331"/>
      <x:c r="G57" s="331" t="str">
        <x:f>IF(OR(D57="",E57=""),"",IF(D57&gt;E57,C57,IF(E57&gt;D57,F57,"Draw")))</x:f>
      </x:c>
      <x:c r="H57" s="332"/>
      <x:c r="I57" s="258"/>
      <x:c r="J57" s="258"/>
      <x:c r="K57" s="258"/>
      <x:c r="L57" s="258"/>
      <x:c r="M57" s="258"/>
      <x:c r="N57" s="258"/>
      <x:c r="O57" s="258"/>
      <x:c r="P57" s="258"/>
      <x:c r="Q57" s="258"/>
      <x:c r="R57" s="258"/>
      <x:c r="S57" s="258"/>
      <x:c r="T57" s="258"/>
      <x:c r="U57" s="258"/>
      <x:c r="V57" s="258"/>
      <x:c r="W57" s="258"/>
      <x:c r="X57" s="258"/>
      <x:c r="Y57" s="258"/>
      <x:c r="Z57" s="258"/>
    </x:row>
    <x:row r="58">
      <x:c r="A58" s="330"/>
      <x:c r="B58" s="331"/>
      <x:c r="C58" s="331"/>
      <x:c r="D58" s="331"/>
      <x:c r="E58" s="331"/>
      <x:c r="F58" s="331"/>
      <x:c r="G58" s="331" t="str">
        <x:f>IF(OR(D58="",E58=""),"",IF(D58&gt;E58,C58,IF(E58&gt;D58,F58,"Draw")))</x:f>
      </x:c>
      <x:c r="H58" s="332"/>
      <x:c r="I58" s="258"/>
      <x:c r="J58" s="258"/>
      <x:c r="K58" s="258"/>
      <x:c r="L58" s="258"/>
      <x:c r="M58" s="258"/>
      <x:c r="N58" s="258"/>
      <x:c r="O58" s="258"/>
      <x:c r="P58" s="258"/>
      <x:c r="Q58" s="258"/>
      <x:c r="R58" s="258"/>
      <x:c r="S58" s="258"/>
      <x:c r="T58" s="258"/>
      <x:c r="U58" s="258"/>
      <x:c r="V58" s="258"/>
      <x:c r="W58" s="258"/>
      <x:c r="X58" s="258"/>
      <x:c r="Y58" s="258"/>
      <x:c r="Z58" s="258"/>
    </x:row>
    <x:row r="59">
      <x:c r="A59" s="330"/>
      <x:c r="B59" s="331"/>
      <x:c r="C59" s="331"/>
      <x:c r="D59" s="331"/>
      <x:c r="E59" s="331"/>
      <x:c r="F59" s="331"/>
      <x:c r="G59" s="331" t="str">
        <x:f>IF(OR(D59="",E59=""),"",IF(D59&gt;E59,C59,IF(E59&gt;D59,F59,"Draw")))</x:f>
      </x:c>
      <x:c r="H59" s="332"/>
      <x:c r="I59" s="258"/>
      <x:c r="J59" s="258"/>
      <x:c r="K59" s="258"/>
      <x:c r="L59" s="258"/>
      <x:c r="M59" s="258"/>
      <x:c r="N59" s="258"/>
      <x:c r="O59" s="258"/>
      <x:c r="P59" s="258"/>
      <x:c r="Q59" s="258"/>
      <x:c r="R59" s="258"/>
      <x:c r="S59" s="258"/>
      <x:c r="T59" s="258"/>
      <x:c r="U59" s="258"/>
      <x:c r="V59" s="258"/>
      <x:c r="W59" s="258"/>
      <x:c r="X59" s="258"/>
      <x:c r="Y59" s="258"/>
      <x:c r="Z59" s="258"/>
    </x:row>
    <x:row r="60">
      <x:c r="A60" s="330"/>
      <x:c r="B60" s="331"/>
      <x:c r="C60" s="331"/>
      <x:c r="D60" s="331"/>
      <x:c r="E60" s="331"/>
      <x:c r="F60" s="331"/>
      <x:c r="G60" s="331" t="str">
        <x:f>IF(OR(D60="",E60=""),"",IF(D60&gt;E60,C60,IF(E60&gt;D60,F60,"Draw")))</x:f>
      </x:c>
      <x:c r="H60" s="332"/>
      <x:c r="I60" s="258"/>
      <x:c r="J60" s="258"/>
      <x:c r="K60" s="258"/>
      <x:c r="L60" s="258"/>
      <x:c r="M60" s="258"/>
      <x:c r="N60" s="258"/>
      <x:c r="O60" s="258"/>
      <x:c r="P60" s="258"/>
      <x:c r="Q60" s="258"/>
      <x:c r="R60" s="258"/>
      <x:c r="S60" s="258"/>
      <x:c r="T60" s="258"/>
      <x:c r="U60" s="258"/>
      <x:c r="V60" s="258"/>
      <x:c r="W60" s="258"/>
      <x:c r="X60" s="258"/>
      <x:c r="Y60" s="258"/>
      <x:c r="Z60" s="258"/>
    </x:row>
    <x:row r="61">
      <x:c r="A61" s="330"/>
      <x:c r="B61" s="331"/>
      <x:c r="C61" s="331"/>
      <x:c r="D61" s="331"/>
      <x:c r="E61" s="331"/>
      <x:c r="F61" s="331"/>
      <x:c r="G61" s="331" t="str">
        <x:f>IF(OR(D61="",E61=""),"",IF(D61&gt;E61,C61,IF(E61&gt;D61,F61,"Draw")))</x:f>
      </x:c>
      <x:c r="H61" s="332"/>
      <x:c r="I61" s="258"/>
      <x:c r="J61" s="258"/>
      <x:c r="K61" s="258"/>
      <x:c r="L61" s="258"/>
      <x:c r="M61" s="258"/>
      <x:c r="N61" s="258"/>
      <x:c r="O61" s="258"/>
      <x:c r="P61" s="258"/>
      <x:c r="Q61" s="258"/>
      <x:c r="R61" s="258"/>
      <x:c r="S61" s="258"/>
      <x:c r="T61" s="258"/>
      <x:c r="U61" s="258"/>
      <x:c r="V61" s="258"/>
      <x:c r="W61" s="258"/>
      <x:c r="X61" s="258"/>
      <x:c r="Y61" s="258"/>
      <x:c r="Z61" s="258"/>
    </x:row>
    <x:row r="62">
      <x:c r="A62" s="330"/>
      <x:c r="B62" s="331"/>
      <x:c r="C62" s="331"/>
      <x:c r="D62" s="331"/>
      <x:c r="E62" s="331"/>
      <x:c r="F62" s="331"/>
      <x:c r="G62" s="331" t="str">
        <x:f>IF(OR(D62="",E62=""),"",IF(D62&gt;E62,C62,IF(E62&gt;D62,F62,"Draw")))</x:f>
      </x:c>
      <x:c r="H62" s="332"/>
      <x:c r="I62" s="258"/>
      <x:c r="J62" s="258"/>
      <x:c r="K62" s="258"/>
      <x:c r="L62" s="258"/>
      <x:c r="M62" s="258"/>
      <x:c r="N62" s="258"/>
      <x:c r="O62" s="258"/>
      <x:c r="P62" s="258"/>
      <x:c r="Q62" s="258"/>
      <x:c r="R62" s="258"/>
      <x:c r="S62" s="258"/>
      <x:c r="T62" s="258"/>
      <x:c r="U62" s="258"/>
      <x:c r="V62" s="258"/>
      <x:c r="W62" s="258"/>
      <x:c r="X62" s="258"/>
      <x:c r="Y62" s="258"/>
      <x:c r="Z62" s="258"/>
    </x:row>
    <x:row r="63">
      <x:c r="A63" s="330"/>
      <x:c r="B63" s="331"/>
      <x:c r="C63" s="331"/>
      <x:c r="D63" s="331"/>
      <x:c r="E63" s="331"/>
      <x:c r="F63" s="331"/>
      <x:c r="G63" s="331" t="str">
        <x:f>IF(OR(D63="",E63=""),"",IF(D63&gt;E63,C63,IF(E63&gt;D63,F63,"Draw")))</x:f>
      </x:c>
      <x:c r="H63" s="332"/>
      <x:c r="I63" s="258"/>
      <x:c r="J63" s="258"/>
      <x:c r="K63" s="258"/>
      <x:c r="L63" s="258"/>
      <x:c r="M63" s="258"/>
      <x:c r="N63" s="258"/>
      <x:c r="O63" s="258"/>
      <x:c r="P63" s="258"/>
      <x:c r="Q63" s="258"/>
      <x:c r="R63" s="258"/>
      <x:c r="S63" s="258"/>
      <x:c r="T63" s="258"/>
      <x:c r="U63" s="258"/>
      <x:c r="V63" s="258"/>
      <x:c r="W63" s="258"/>
      <x:c r="X63" s="258"/>
      <x:c r="Y63" s="258"/>
      <x:c r="Z63" s="258"/>
    </x:row>
    <x:row r="64">
      <x:c r="A64" s="330"/>
      <x:c r="B64" s="331"/>
      <x:c r="C64" s="331"/>
      <x:c r="D64" s="331"/>
      <x:c r="E64" s="331"/>
      <x:c r="F64" s="331"/>
      <x:c r="G64" s="331" t="str">
        <x:f>IF(OR(D64="",E64=""),"",IF(D64&gt;E64,C64,IF(E64&gt;D64,F64,"Draw")))</x:f>
      </x:c>
      <x:c r="H64" s="332"/>
      <x:c r="I64" s="258"/>
      <x:c r="J64" s="258"/>
      <x:c r="K64" s="258"/>
      <x:c r="L64" s="258"/>
      <x:c r="M64" s="258"/>
      <x:c r="N64" s="258"/>
      <x:c r="O64" s="258"/>
      <x:c r="P64" s="258"/>
      <x:c r="Q64" s="258"/>
      <x:c r="R64" s="258"/>
      <x:c r="S64" s="258"/>
      <x:c r="T64" s="258"/>
      <x:c r="U64" s="258"/>
      <x:c r="V64" s="258"/>
      <x:c r="W64" s="258"/>
      <x:c r="X64" s="258"/>
      <x:c r="Y64" s="258"/>
      <x:c r="Z64" s="258"/>
    </x:row>
    <x:row r="65">
      <x:c r="A65" s="330"/>
      <x:c r="B65" s="331"/>
      <x:c r="C65" s="331"/>
      <x:c r="D65" s="331"/>
      <x:c r="E65" s="331"/>
      <x:c r="F65" s="331"/>
      <x:c r="G65" s="331" t="str">
        <x:f>IF(OR(D65="",E65=""),"",IF(D65&gt;E65,C65,IF(E65&gt;D65,F65,"Draw")))</x:f>
      </x:c>
      <x:c r="H65" s="332"/>
      <x:c r="I65" s="258"/>
      <x:c r="J65" s="258"/>
      <x:c r="K65" s="258"/>
      <x:c r="L65" s="258"/>
      <x:c r="M65" s="258"/>
      <x:c r="N65" s="258"/>
      <x:c r="O65" s="258"/>
      <x:c r="P65" s="258"/>
      <x:c r="Q65" s="258"/>
      <x:c r="R65" s="258"/>
      <x:c r="S65" s="258"/>
      <x:c r="T65" s="258"/>
      <x:c r="U65" s="258"/>
      <x:c r="V65" s="258"/>
      <x:c r="W65" s="258"/>
      <x:c r="X65" s="258"/>
      <x:c r="Y65" s="258"/>
      <x:c r="Z65" s="258"/>
    </x:row>
    <x:row r="66">
      <x:c r="A66" s="330"/>
      <x:c r="B66" s="331"/>
      <x:c r="C66" s="331"/>
      <x:c r="D66" s="331"/>
      <x:c r="E66" s="331"/>
      <x:c r="F66" s="331"/>
      <x:c r="G66" s="331" t="str">
        <x:f>IF(OR(D66="",E66=""),"",IF(D66&gt;E66,C66,IF(E66&gt;D66,F66,"Draw")))</x:f>
      </x:c>
      <x:c r="H66" s="332"/>
      <x:c r="I66" s="258"/>
      <x:c r="J66" s="258"/>
      <x:c r="K66" s="258"/>
      <x:c r="L66" s="258"/>
      <x:c r="M66" s="258"/>
      <x:c r="N66" s="258"/>
      <x:c r="O66" s="258"/>
      <x:c r="P66" s="258"/>
      <x:c r="Q66" s="258"/>
      <x:c r="R66" s="258"/>
      <x:c r="S66" s="258"/>
      <x:c r="T66" s="258"/>
      <x:c r="U66" s="258"/>
      <x:c r="V66" s="258"/>
      <x:c r="W66" s="258"/>
      <x:c r="X66" s="258"/>
      <x:c r="Y66" s="258"/>
      <x:c r="Z66" s="258"/>
    </x:row>
    <x:row r="67">
      <x:c r="A67" s="330"/>
      <x:c r="B67" s="331"/>
      <x:c r="C67" s="331"/>
      <x:c r="D67" s="331"/>
      <x:c r="E67" s="331"/>
      <x:c r="F67" s="331"/>
      <x:c r="G67" s="331" t="str">
        <x:f>IF(OR(D67="",E67=""),"",IF(D67&gt;E67,C67,IF(E67&gt;D67,F67,"Draw")))</x:f>
      </x:c>
      <x:c r="H67" s="332"/>
      <x:c r="I67" s="258"/>
      <x:c r="J67" s="258"/>
      <x:c r="K67" s="258"/>
      <x:c r="L67" s="258"/>
      <x:c r="M67" s="258"/>
      <x:c r="N67" s="258"/>
      <x:c r="O67" s="258"/>
      <x:c r="P67" s="258"/>
      <x:c r="Q67" s="258"/>
      <x:c r="R67" s="258"/>
      <x:c r="S67" s="258"/>
      <x:c r="T67" s="258"/>
      <x:c r="U67" s="258"/>
      <x:c r="V67" s="258"/>
      <x:c r="W67" s="258"/>
      <x:c r="X67" s="258"/>
      <x:c r="Y67" s="258"/>
      <x:c r="Z67" s="258"/>
    </x:row>
    <x:row r="68">
      <x:c r="A68" s="330"/>
      <x:c r="B68" s="331"/>
      <x:c r="C68" s="331"/>
      <x:c r="D68" s="331"/>
      <x:c r="E68" s="331"/>
      <x:c r="F68" s="331"/>
      <x:c r="G68" s="331" t="str">
        <x:f>IF(OR(D68="",E68=""),"",IF(D68&gt;E68,C68,IF(E68&gt;D68,F68,"Draw")))</x:f>
      </x:c>
      <x:c r="H68" s="332"/>
      <x:c r="I68" s="258"/>
      <x:c r="J68" s="258"/>
      <x:c r="K68" s="258"/>
      <x:c r="L68" s="258"/>
      <x:c r="M68" s="258"/>
      <x:c r="N68" s="258"/>
      <x:c r="O68" s="258"/>
      <x:c r="P68" s="258"/>
      <x:c r="Q68" s="258"/>
      <x:c r="R68" s="258"/>
      <x:c r="S68" s="258"/>
      <x:c r="T68" s="258"/>
      <x:c r="U68" s="258"/>
      <x:c r="V68" s="258"/>
      <x:c r="W68" s="258"/>
      <x:c r="X68" s="258"/>
      <x:c r="Y68" s="258"/>
      <x:c r="Z68" s="258"/>
    </x:row>
    <x:row r="69">
      <x:c r="A69" s="330"/>
      <x:c r="B69" s="331"/>
      <x:c r="C69" s="331"/>
      <x:c r="D69" s="331"/>
      <x:c r="E69" s="331"/>
      <x:c r="F69" s="331"/>
      <x:c r="G69" s="331" t="str">
        <x:f>IF(OR(D69="",E69=""),"",IF(D69&gt;E69,C69,IF(E69&gt;D69,F69,"Draw")))</x:f>
      </x:c>
      <x:c r="H69" s="332"/>
      <x:c r="I69" s="258"/>
      <x:c r="J69" s="258"/>
      <x:c r="K69" s="258"/>
      <x:c r="L69" s="258"/>
      <x:c r="M69" s="258"/>
      <x:c r="N69" s="258"/>
      <x:c r="O69" s="258"/>
      <x:c r="P69" s="258"/>
      <x:c r="Q69" s="258"/>
      <x:c r="R69" s="258"/>
      <x:c r="S69" s="258"/>
      <x:c r="T69" s="258"/>
      <x:c r="U69" s="258"/>
      <x:c r="V69" s="258"/>
      <x:c r="W69" s="258"/>
      <x:c r="X69" s="258"/>
      <x:c r="Y69" s="258"/>
      <x:c r="Z69" s="258"/>
    </x:row>
    <x:row r="70">
      <x:c r="A70" s="330"/>
      <x:c r="B70" s="331"/>
      <x:c r="C70" s="331"/>
      <x:c r="D70" s="331"/>
      <x:c r="E70" s="331"/>
      <x:c r="F70" s="331"/>
      <x:c r="G70" s="331" t="str">
        <x:f>IF(OR(D70="",E70=""),"",IF(D70&gt;E70,C70,IF(E70&gt;D70,F70,"Draw")))</x:f>
      </x:c>
      <x:c r="H70" s="332"/>
      <x:c r="I70" s="258"/>
      <x:c r="J70" s="258"/>
      <x:c r="K70" s="258"/>
      <x:c r="L70" s="258"/>
      <x:c r="M70" s="258"/>
      <x:c r="N70" s="258"/>
      <x:c r="O70" s="258"/>
      <x:c r="P70" s="258"/>
      <x:c r="Q70" s="258"/>
      <x:c r="R70" s="258"/>
      <x:c r="S70" s="258"/>
      <x:c r="T70" s="258"/>
      <x:c r="U70" s="258"/>
      <x:c r="V70" s="258"/>
      <x:c r="W70" s="258"/>
      <x:c r="X70" s="258"/>
      <x:c r="Y70" s="258"/>
      <x:c r="Z70" s="258"/>
    </x:row>
    <x:row r="71">
      <x:c r="A71" s="330"/>
      <x:c r="B71" s="331"/>
      <x:c r="C71" s="331"/>
      <x:c r="D71" s="331"/>
      <x:c r="E71" s="331"/>
      <x:c r="F71" s="331"/>
      <x:c r="G71" s="331" t="str">
        <x:f>IF(OR(D71="",E71=""),"",IF(D71&gt;E71,C71,IF(E71&gt;D71,F71,"Draw")))</x:f>
      </x:c>
      <x:c r="H71" s="332"/>
      <x:c r="I71" s="258"/>
      <x:c r="J71" s="258"/>
      <x:c r="K71" s="258"/>
      <x:c r="L71" s="258"/>
      <x:c r="M71" s="258"/>
      <x:c r="N71" s="258"/>
      <x:c r="O71" s="258"/>
      <x:c r="P71" s="258"/>
      <x:c r="Q71" s="258"/>
      <x:c r="R71" s="258"/>
      <x:c r="S71" s="258"/>
      <x:c r="T71" s="258"/>
      <x:c r="U71" s="258"/>
      <x:c r="V71" s="258"/>
      <x:c r="W71" s="258"/>
      <x:c r="X71" s="258"/>
      <x:c r="Y71" s="258"/>
      <x:c r="Z71" s="258"/>
    </x:row>
    <x:row r="72">
      <x:c r="A72" s="330"/>
      <x:c r="B72" s="331"/>
      <x:c r="C72" s="331"/>
      <x:c r="D72" s="331"/>
      <x:c r="E72" s="331"/>
      <x:c r="F72" s="331"/>
      <x:c r="G72" s="331" t="str">
        <x:f>IF(OR(D72="",E72=""),"",IF(D72&gt;E72,C72,IF(E72&gt;D72,F72,"Draw")))</x:f>
      </x:c>
      <x:c r="H72" s="332"/>
      <x:c r="I72" s="258"/>
      <x:c r="J72" s="258"/>
      <x:c r="K72" s="258"/>
      <x:c r="L72" s="258"/>
      <x:c r="M72" s="258"/>
      <x:c r="N72" s="258"/>
      <x:c r="O72" s="258"/>
      <x:c r="P72" s="258"/>
      <x:c r="Q72" s="258"/>
      <x:c r="R72" s="258"/>
      <x:c r="S72" s="258"/>
      <x:c r="T72" s="258"/>
      <x:c r="U72" s="258"/>
      <x:c r="V72" s="258"/>
      <x:c r="W72" s="258"/>
      <x:c r="X72" s="258"/>
      <x:c r="Y72" s="258"/>
      <x:c r="Z72" s="258"/>
    </x:row>
    <x:row r="73">
      <x:c r="A73" s="330"/>
      <x:c r="B73" s="331"/>
      <x:c r="C73" s="331"/>
      <x:c r="D73" s="331"/>
      <x:c r="E73" s="331"/>
      <x:c r="F73" s="331"/>
      <x:c r="G73" s="331" t="str">
        <x:f>IF(OR(D73="",E73=""),"",IF(D73&gt;E73,C73,IF(E73&gt;D73,F73,"Draw")))</x:f>
      </x:c>
      <x:c r="H73" s="332"/>
      <x:c r="I73" s="258"/>
      <x:c r="J73" s="258"/>
      <x:c r="K73" s="258"/>
      <x:c r="L73" s="258"/>
      <x:c r="M73" s="258"/>
      <x:c r="N73" s="258"/>
      <x:c r="O73" s="258"/>
      <x:c r="P73" s="258"/>
      <x:c r="Q73" s="258"/>
      <x:c r="R73" s="258"/>
      <x:c r="S73" s="258"/>
      <x:c r="T73" s="258"/>
      <x:c r="U73" s="258"/>
      <x:c r="V73" s="258"/>
      <x:c r="W73" s="258"/>
      <x:c r="X73" s="258"/>
      <x:c r="Y73" s="258"/>
      <x:c r="Z73" s="258"/>
    </x:row>
    <x:row r="74">
      <x:c r="A74" s="330"/>
      <x:c r="B74" s="331"/>
      <x:c r="C74" s="331"/>
      <x:c r="D74" s="331"/>
      <x:c r="E74" s="331"/>
      <x:c r="F74" s="331"/>
      <x:c r="G74" s="331" t="str">
        <x:f>IF(OR(D74="",E74=""),"",IF(D74&gt;E74,C74,IF(E74&gt;D74,F74,"Draw")))</x:f>
      </x:c>
      <x:c r="H74" s="332"/>
      <x:c r="I74" s="258"/>
      <x:c r="J74" s="258"/>
      <x:c r="K74" s="258"/>
      <x:c r="L74" s="258"/>
      <x:c r="M74" s="258"/>
      <x:c r="N74" s="258"/>
      <x:c r="O74" s="258"/>
      <x:c r="P74" s="258"/>
      <x:c r="Q74" s="258"/>
      <x:c r="R74" s="258"/>
      <x:c r="S74" s="258"/>
      <x:c r="T74" s="258"/>
      <x:c r="U74" s="258"/>
      <x:c r="V74" s="258"/>
      <x:c r="W74" s="258"/>
      <x:c r="X74" s="258"/>
      <x:c r="Y74" s="258"/>
      <x:c r="Z74" s="258"/>
    </x:row>
    <x:row r="75">
      <x:c r="A75" s="330"/>
      <x:c r="B75" s="331"/>
      <x:c r="C75" s="331"/>
      <x:c r="D75" s="331"/>
      <x:c r="E75" s="331"/>
      <x:c r="F75" s="331"/>
      <x:c r="G75" s="331" t="str">
        <x:f>IF(OR(D75="",E75=""),"",IF(D75&gt;E75,C75,IF(E75&gt;D75,F75,"Draw")))</x:f>
      </x:c>
      <x:c r="H75" s="332"/>
      <x:c r="I75" s="258"/>
      <x:c r="J75" s="258"/>
      <x:c r="K75" s="258"/>
      <x:c r="L75" s="258"/>
      <x:c r="M75" s="258"/>
      <x:c r="N75" s="258"/>
      <x:c r="O75" s="258"/>
      <x:c r="P75" s="258"/>
      <x:c r="Q75" s="258"/>
      <x:c r="R75" s="258"/>
      <x:c r="S75" s="258"/>
      <x:c r="T75" s="258"/>
      <x:c r="U75" s="258"/>
      <x:c r="V75" s="258"/>
      <x:c r="W75" s="258"/>
      <x:c r="X75" s="258"/>
      <x:c r="Y75" s="258"/>
      <x:c r="Z75" s="258"/>
    </x:row>
    <x:row r="76">
      <x:c r="A76" s="330"/>
      <x:c r="B76" s="331"/>
      <x:c r="C76" s="331"/>
      <x:c r="D76" s="331"/>
      <x:c r="E76" s="331"/>
      <x:c r="F76" s="331"/>
      <x:c r="G76" s="331" t="str">
        <x:f>IF(OR(D76="",E76=""),"",IF(D76&gt;E76,C76,IF(E76&gt;D76,F76,"Draw")))</x:f>
      </x:c>
      <x:c r="H76" s="332"/>
      <x:c r="I76" s="258"/>
      <x:c r="J76" s="258"/>
      <x:c r="K76" s="258"/>
      <x:c r="L76" s="258"/>
      <x:c r="M76" s="258"/>
      <x:c r="N76" s="258"/>
      <x:c r="O76" s="258"/>
      <x:c r="P76" s="258"/>
      <x:c r="Q76" s="258"/>
      <x:c r="R76" s="258"/>
      <x:c r="S76" s="258"/>
      <x:c r="T76" s="258"/>
      <x:c r="U76" s="258"/>
      <x:c r="V76" s="258"/>
      <x:c r="W76" s="258"/>
      <x:c r="X76" s="258"/>
      <x:c r="Y76" s="258"/>
      <x:c r="Z76" s="258"/>
    </x:row>
    <x:row r="77">
      <x:c r="A77" s="330"/>
      <x:c r="B77" s="331"/>
      <x:c r="C77" s="331"/>
      <x:c r="D77" s="331"/>
      <x:c r="E77" s="331"/>
      <x:c r="F77" s="331"/>
      <x:c r="G77" s="331" t="str">
        <x:f>IF(OR(D77="",E77=""),"",IF(D77&gt;E77,C77,IF(E77&gt;D77,F77,"Draw")))</x:f>
      </x:c>
      <x:c r="H77" s="332"/>
      <x:c r="I77" s="258"/>
      <x:c r="J77" s="258"/>
      <x:c r="K77" s="258"/>
      <x:c r="L77" s="258"/>
      <x:c r="M77" s="258"/>
      <x:c r="N77" s="258"/>
      <x:c r="O77" s="258"/>
      <x:c r="P77" s="258"/>
      <x:c r="Q77" s="258"/>
      <x:c r="R77" s="258"/>
      <x:c r="S77" s="258"/>
      <x:c r="T77" s="258"/>
      <x:c r="U77" s="258"/>
      <x:c r="V77" s="258"/>
      <x:c r="W77" s="258"/>
      <x:c r="X77" s="258"/>
      <x:c r="Y77" s="258"/>
      <x:c r="Z77" s="258"/>
    </x:row>
    <x:row r="78">
      <x:c r="A78" s="330"/>
      <x:c r="B78" s="331"/>
      <x:c r="C78" s="331"/>
      <x:c r="D78" s="331"/>
      <x:c r="E78" s="331"/>
      <x:c r="F78" s="331"/>
      <x:c r="G78" s="331" t="str">
        <x:f>IF(OR(D78="",E78=""),"",IF(D78&gt;E78,C78,IF(E78&gt;D78,F78,"Draw")))</x:f>
      </x:c>
      <x:c r="H78" s="332"/>
      <x:c r="I78" s="258"/>
      <x:c r="J78" s="258"/>
      <x:c r="K78" s="258"/>
      <x:c r="L78" s="258"/>
      <x:c r="M78" s="258"/>
      <x:c r="N78" s="258"/>
      <x:c r="O78" s="258"/>
      <x:c r="P78" s="258"/>
      <x:c r="Q78" s="258"/>
      <x:c r="R78" s="258"/>
      <x:c r="S78" s="258"/>
      <x:c r="T78" s="258"/>
      <x:c r="U78" s="258"/>
      <x:c r="V78" s="258"/>
      <x:c r="W78" s="258"/>
      <x:c r="X78" s="258"/>
      <x:c r="Y78" s="258"/>
      <x:c r="Z78" s="258"/>
    </x:row>
    <x:row r="79">
      <x:c r="A79" s="330"/>
      <x:c r="B79" s="331"/>
      <x:c r="C79" s="331"/>
      <x:c r="D79" s="331"/>
      <x:c r="E79" s="331"/>
      <x:c r="F79" s="331"/>
      <x:c r="G79" s="331" t="str">
        <x:f>IF(OR(D79="",E79=""),"",IF(D79&gt;E79,C79,IF(E79&gt;D79,F79,"Draw")))</x:f>
      </x:c>
      <x:c r="H79" s="332"/>
      <x:c r="I79" s="258"/>
      <x:c r="J79" s="258"/>
      <x:c r="K79" s="258"/>
      <x:c r="L79" s="258"/>
      <x:c r="M79" s="258"/>
      <x:c r="N79" s="258"/>
      <x:c r="O79" s="258"/>
      <x:c r="P79" s="258"/>
      <x:c r="Q79" s="258"/>
      <x:c r="R79" s="258"/>
      <x:c r="S79" s="258"/>
      <x:c r="T79" s="258"/>
      <x:c r="U79" s="258"/>
      <x:c r="V79" s="258"/>
      <x:c r="W79" s="258"/>
      <x:c r="X79" s="258"/>
      <x:c r="Y79" s="258"/>
      <x:c r="Z79" s="258"/>
    </x:row>
    <x:row r="80">
      <x:c r="A80" s="333"/>
      <x:c r="B80" s="334"/>
      <x:c r="C80" s="334"/>
      <x:c r="D80" s="334"/>
      <x:c r="E80" s="334"/>
      <x:c r="F80" s="334"/>
      <x:c r="G80" s="334" t="str">
        <x:f>IF(OR(D80="",E80=""),"",IF(D80&gt;E80,C80,IF(E80&gt;D80,F80,"Draw")))</x:f>
      </x:c>
      <x:c r="H80" s="335"/>
      <x:c r="I80" s="258"/>
      <x:c r="J80" s="258"/>
      <x:c r="K80" s="258"/>
      <x:c r="L80" s="258"/>
      <x:c r="M80" s="258"/>
      <x:c r="N80" s="258"/>
      <x:c r="O80" s="258"/>
      <x:c r="P80" s="258"/>
      <x:c r="Q80" s="258"/>
      <x:c r="R80" s="258"/>
      <x:c r="S80" s="258"/>
      <x:c r="T80" s="258"/>
      <x:c r="U80" s="258"/>
      <x:c r="V80" s="258"/>
      <x:c r="W80" s="258"/>
      <x:c r="X80" s="258"/>
      <x:c r="Y80" s="258"/>
      <x:c r="Z80" s="258"/>
    </x:row>
    <x:row r="81">
      <x:c r="A81" s="258"/>
      <x:c r="B81" s="258"/>
      <x:c r="C81" s="258"/>
      <x:c r="D81" s="258"/>
      <x:c r="E81" s="258"/>
      <x:c r="F81" s="258"/>
      <x:c r="G81" s="258"/>
      <x:c r="H81" s="258"/>
      <x:c r="I81" s="258"/>
      <x:c r="J81" s="258"/>
      <x:c r="K81" s="258"/>
      <x:c r="L81" s="258"/>
      <x:c r="M81" s="258"/>
      <x:c r="N81" s="258"/>
      <x:c r="O81" s="258"/>
      <x:c r="P81" s="258"/>
      <x:c r="Q81" s="258"/>
      <x:c r="R81" s="258"/>
      <x:c r="S81" s="258"/>
      <x:c r="T81" s="258"/>
      <x:c r="U81" s="258"/>
      <x:c r="V81" s="258"/>
      <x:c r="W81" s="258"/>
      <x:c r="X81" s="258"/>
      <x:c r="Y81" s="258"/>
      <x:c r="Z81" s="258"/>
    </x:row>
    <x:row r="82">
      <x:c r="A82" s="258"/>
      <x:c r="B82" s="258"/>
      <x:c r="C82" s="258"/>
      <x:c r="D82" s="258"/>
      <x:c r="E82" s="258"/>
      <x:c r="F82" s="258"/>
      <x:c r="G82" s="258"/>
      <x:c r="H82" s="258"/>
      <x:c r="I82" s="258"/>
      <x:c r="J82" s="258"/>
      <x:c r="K82" s="258"/>
      <x:c r="L82" s="258"/>
      <x:c r="M82" s="258"/>
      <x:c r="N82" s="258"/>
      <x:c r="O82" s="258"/>
      <x:c r="P82" s="258"/>
      <x:c r="Q82" s="258"/>
      <x:c r="R82" s="258"/>
      <x:c r="S82" s="258"/>
      <x:c r="T82" s="258"/>
      <x:c r="U82" s="258"/>
      <x:c r="V82" s="258"/>
      <x:c r="W82" s="258"/>
      <x:c r="X82" s="258"/>
      <x:c r="Y82" s="258"/>
      <x:c r="Z82" s="258"/>
    </x:row>
    <x:row r="83">
      <x:c r="A83" s="258"/>
      <x:c r="B83" s="258"/>
      <x:c r="C83" s="258"/>
      <x:c r="D83" s="258"/>
      <x:c r="E83" s="258"/>
      <x:c r="F83" s="258"/>
      <x:c r="G83" s="258"/>
      <x:c r="H83" s="258"/>
      <x:c r="I83" s="258"/>
      <x:c r="J83" s="258"/>
      <x:c r="K83" s="258"/>
      <x:c r="L83" s="258"/>
      <x:c r="M83" s="258"/>
      <x:c r="N83" s="258"/>
      <x:c r="O83" s="258"/>
      <x:c r="P83" s="258"/>
      <x:c r="Q83" s="258"/>
      <x:c r="R83" s="258"/>
      <x:c r="S83" s="258"/>
      <x:c r="T83" s="258"/>
      <x:c r="U83" s="258"/>
      <x:c r="V83" s="258"/>
      <x:c r="W83" s="258"/>
      <x:c r="X83" s="258"/>
      <x:c r="Y83" s="258"/>
      <x:c r="Z83" s="258"/>
    </x:row>
    <x:row r="84">
      <x:c r="A84" s="258"/>
      <x:c r="B84" s="258"/>
      <x:c r="C84" s="258"/>
      <x:c r="D84" s="258"/>
      <x:c r="E84" s="258"/>
      <x:c r="F84" s="258"/>
      <x:c r="G84" s="258"/>
      <x:c r="H84" s="258"/>
      <x:c r="I84" s="258"/>
      <x:c r="J84" s="258"/>
      <x:c r="K84" s="258"/>
      <x:c r="L84" s="258"/>
      <x:c r="M84" s="258"/>
      <x:c r="N84" s="258"/>
      <x:c r="O84" s="258"/>
      <x:c r="P84" s="258"/>
      <x:c r="Q84" s="258"/>
      <x:c r="R84" s="258"/>
      <x:c r="S84" s="258"/>
      <x:c r="T84" s="258"/>
      <x:c r="U84" s="258"/>
      <x:c r="V84" s="258"/>
      <x:c r="W84" s="258"/>
      <x:c r="X84" s="258"/>
      <x:c r="Y84" s="258"/>
      <x:c r="Z84" s="258"/>
    </x:row>
    <x:row r="85">
      <x:c r="A85" s="258"/>
      <x:c r="B85" s="258"/>
      <x:c r="C85" s="258"/>
      <x:c r="D85" s="258"/>
      <x:c r="E85" s="258"/>
      <x:c r="F85" s="258"/>
      <x:c r="G85" s="258"/>
      <x:c r="H85" s="258"/>
      <x:c r="I85" s="258"/>
      <x:c r="J85" s="258"/>
      <x:c r="K85" s="258"/>
      <x:c r="L85" s="258"/>
      <x:c r="M85" s="258"/>
      <x:c r="N85" s="258"/>
      <x:c r="O85" s="258"/>
      <x:c r="P85" s="258"/>
      <x:c r="Q85" s="258"/>
      <x:c r="R85" s="258"/>
      <x:c r="S85" s="258"/>
      <x:c r="T85" s="258"/>
      <x:c r="U85" s="258"/>
      <x:c r="V85" s="258"/>
      <x:c r="W85" s="258"/>
      <x:c r="X85" s="258"/>
      <x:c r="Y85" s="258"/>
      <x:c r="Z85" s="258"/>
    </x:row>
    <x:row r="86">
      <x:c r="A86" s="258"/>
      <x:c r="B86" s="258"/>
      <x:c r="C86" s="258"/>
      <x:c r="D86" s="258"/>
      <x:c r="E86" s="258"/>
      <x:c r="F86" s="258"/>
      <x:c r="G86" s="258"/>
      <x:c r="H86" s="258"/>
      <x:c r="I86" s="258"/>
      <x:c r="J86" s="258"/>
      <x:c r="K86" s="258"/>
      <x:c r="L86" s="258"/>
      <x:c r="M86" s="258"/>
      <x:c r="N86" s="258"/>
      <x:c r="O86" s="258"/>
      <x:c r="P86" s="258"/>
      <x:c r="Q86" s="258"/>
      <x:c r="R86" s="258"/>
      <x:c r="S86" s="258"/>
      <x:c r="T86" s="258"/>
      <x:c r="U86" s="258"/>
      <x:c r="V86" s="258"/>
      <x:c r="W86" s="258"/>
      <x:c r="X86" s="258"/>
      <x:c r="Y86" s="258"/>
      <x:c r="Z86" s="258"/>
    </x:row>
    <x:row r="87">
      <x:c r="A87" s="258"/>
      <x:c r="B87" s="258"/>
      <x:c r="C87" s="258"/>
      <x:c r="D87" s="258"/>
      <x:c r="E87" s="258"/>
      <x:c r="F87" s="258"/>
      <x:c r="G87" s="258"/>
      <x:c r="H87" s="258"/>
      <x:c r="I87" s="258"/>
      <x:c r="J87" s="258"/>
      <x:c r="K87" s="258"/>
      <x:c r="L87" s="258"/>
      <x:c r="M87" s="258"/>
      <x:c r="N87" s="258"/>
      <x:c r="O87" s="258"/>
      <x:c r="P87" s="258"/>
      <x:c r="Q87" s="258"/>
      <x:c r="R87" s="258"/>
      <x:c r="S87" s="258"/>
      <x:c r="T87" s="258"/>
      <x:c r="U87" s="258"/>
      <x:c r="V87" s="258"/>
      <x:c r="W87" s="258"/>
      <x:c r="X87" s="258"/>
      <x:c r="Y87" s="258"/>
      <x:c r="Z87" s="258"/>
    </x:row>
    <x:row r="88">
      <x:c r="A88" s="258"/>
      <x:c r="B88" s="258"/>
      <x:c r="C88" s="258"/>
      <x:c r="D88" s="258"/>
      <x:c r="E88" s="258"/>
      <x:c r="F88" s="258"/>
      <x:c r="G88" s="258"/>
      <x:c r="H88" s="258"/>
      <x:c r="I88" s="258"/>
      <x:c r="J88" s="258"/>
      <x:c r="K88" s="258"/>
      <x:c r="L88" s="258"/>
      <x:c r="M88" s="258"/>
      <x:c r="N88" s="258"/>
      <x:c r="O88" s="258"/>
      <x:c r="P88" s="258"/>
      <x:c r="Q88" s="258"/>
      <x:c r="R88" s="258"/>
      <x:c r="S88" s="258"/>
      <x:c r="T88" s="258"/>
      <x:c r="U88" s="258"/>
      <x:c r="V88" s="258"/>
      <x:c r="W88" s="258"/>
      <x:c r="X88" s="258"/>
      <x:c r="Y88" s="258"/>
      <x:c r="Z88" s="258"/>
    </x:row>
    <x:row r="89">
      <x:c r="A89" s="258"/>
      <x:c r="B89" s="258"/>
      <x:c r="C89" s="258"/>
      <x:c r="D89" s="258"/>
      <x:c r="E89" s="258"/>
      <x:c r="F89" s="258"/>
      <x:c r="G89" s="258"/>
      <x:c r="H89" s="258"/>
      <x:c r="I89" s="258"/>
      <x:c r="J89" s="258"/>
      <x:c r="K89" s="258"/>
      <x:c r="L89" s="258"/>
      <x:c r="M89" s="258"/>
      <x:c r="N89" s="258"/>
      <x:c r="O89" s="258"/>
      <x:c r="P89" s="258"/>
      <x:c r="Q89" s="258"/>
      <x:c r="R89" s="258"/>
      <x:c r="S89" s="258"/>
      <x:c r="T89" s="258"/>
      <x:c r="U89" s="258"/>
      <x:c r="V89" s="258"/>
      <x:c r="W89" s="258"/>
      <x:c r="X89" s="258"/>
      <x:c r="Y89" s="258"/>
      <x:c r="Z89" s="258"/>
    </x:row>
    <x:row r="90">
      <x:c r="A90" s="258"/>
      <x:c r="B90" s="258"/>
      <x:c r="C90" s="258"/>
      <x:c r="D90" s="258"/>
      <x:c r="E90" s="258"/>
      <x:c r="F90" s="258"/>
      <x:c r="G90" s="258"/>
      <x:c r="H90" s="258"/>
      <x:c r="I90" s="258"/>
      <x:c r="J90" s="258"/>
      <x:c r="K90" s="258"/>
      <x:c r="L90" s="258"/>
      <x:c r="M90" s="258"/>
      <x:c r="N90" s="258"/>
      <x:c r="O90" s="258"/>
      <x:c r="P90" s="258"/>
      <x:c r="Q90" s="258"/>
      <x:c r="R90" s="258"/>
      <x:c r="S90" s="258"/>
      <x:c r="T90" s="258"/>
      <x:c r="U90" s="258"/>
      <x:c r="V90" s="258"/>
      <x:c r="W90" s="258"/>
      <x:c r="X90" s="258"/>
      <x:c r="Y90" s="258"/>
      <x:c r="Z90" s="258"/>
    </x:row>
    <x:row r="91">
      <x:c r="A91" s="258"/>
      <x:c r="B91" s="258"/>
      <x:c r="C91" s="258"/>
      <x:c r="D91" s="258"/>
      <x:c r="E91" s="258"/>
      <x:c r="F91" s="258"/>
      <x:c r="G91" s="258"/>
      <x:c r="H91" s="258"/>
      <x:c r="I91" s="258"/>
      <x:c r="J91" s="258"/>
      <x:c r="K91" s="258"/>
      <x:c r="L91" s="258"/>
      <x:c r="M91" s="258"/>
      <x:c r="N91" s="258"/>
      <x:c r="O91" s="258"/>
      <x:c r="P91" s="258"/>
      <x:c r="Q91" s="258"/>
      <x:c r="R91" s="258"/>
      <x:c r="S91" s="258"/>
      <x:c r="T91" s="258"/>
      <x:c r="U91" s="258"/>
      <x:c r="V91" s="258"/>
      <x:c r="W91" s="258"/>
      <x:c r="X91" s="258"/>
      <x:c r="Y91" s="258"/>
      <x:c r="Z91" s="258"/>
    </x:row>
    <x:row r="92">
      <x:c r="A92" s="258"/>
      <x:c r="B92" s="258"/>
      <x:c r="C92" s="258"/>
      <x:c r="D92" s="258"/>
      <x:c r="E92" s="258"/>
      <x:c r="F92" s="258"/>
      <x:c r="G92" s="258"/>
      <x:c r="H92" s="258"/>
      <x:c r="I92" s="258"/>
      <x:c r="J92" s="258"/>
      <x:c r="K92" s="258"/>
      <x:c r="L92" s="258"/>
      <x:c r="M92" s="258"/>
      <x:c r="N92" s="258"/>
      <x:c r="O92" s="258"/>
      <x:c r="P92" s="258"/>
      <x:c r="Q92" s="258"/>
      <x:c r="R92" s="258"/>
      <x:c r="S92" s="258"/>
      <x:c r="T92" s="258"/>
      <x:c r="U92" s="258"/>
      <x:c r="V92" s="258"/>
      <x:c r="W92" s="258"/>
      <x:c r="X92" s="258"/>
      <x:c r="Y92" s="258"/>
      <x:c r="Z92" s="258"/>
    </x:row>
    <x:row r="93">
      <x:c r="A93" s="258"/>
      <x:c r="B93" s="258"/>
      <x:c r="C93" s="258"/>
      <x:c r="D93" s="258"/>
      <x:c r="E93" s="258"/>
      <x:c r="F93" s="258"/>
      <x:c r="G93" s="258"/>
      <x:c r="H93" s="258"/>
      <x:c r="I93" s="258"/>
      <x:c r="J93" s="258"/>
      <x:c r="K93" s="258"/>
      <x:c r="L93" s="258"/>
      <x:c r="M93" s="258"/>
      <x:c r="N93" s="258"/>
      <x:c r="O93" s="258"/>
      <x:c r="P93" s="258"/>
      <x:c r="Q93" s="258"/>
      <x:c r="R93" s="258"/>
      <x:c r="S93" s="258"/>
      <x:c r="T93" s="258"/>
      <x:c r="U93" s="258"/>
      <x:c r="V93" s="258"/>
      <x:c r="W93" s="258"/>
      <x:c r="X93" s="258"/>
      <x:c r="Y93" s="258"/>
      <x:c r="Z93" s="258"/>
    </x:row>
    <x:row r="94">
      <x:c r="A94" s="258"/>
      <x:c r="B94" s="258"/>
      <x:c r="C94" s="258"/>
      <x:c r="D94" s="258"/>
      <x:c r="E94" s="258"/>
      <x:c r="F94" s="258"/>
      <x:c r="G94" s="258"/>
      <x:c r="H94" s="258"/>
      <x:c r="I94" s="258"/>
      <x:c r="J94" s="258"/>
      <x:c r="K94" s="258"/>
      <x:c r="L94" s="258"/>
      <x:c r="M94" s="258"/>
      <x:c r="N94" s="258"/>
      <x:c r="O94" s="258"/>
      <x:c r="P94" s="258"/>
      <x:c r="Q94" s="258"/>
      <x:c r="R94" s="258"/>
      <x:c r="S94" s="258"/>
      <x:c r="T94" s="258"/>
      <x:c r="U94" s="258"/>
      <x:c r="V94" s="258"/>
      <x:c r="W94" s="258"/>
      <x:c r="X94" s="258"/>
      <x:c r="Y94" s="258"/>
      <x:c r="Z94" s="258"/>
    </x:row>
    <x:row r="95">
      <x:c r="A95" s="258"/>
      <x:c r="B95" s="258"/>
      <x:c r="C95" s="258"/>
      <x:c r="D95" s="258"/>
      <x:c r="E95" s="258"/>
      <x:c r="F95" s="258"/>
      <x:c r="G95" s="258"/>
      <x:c r="H95" s="258"/>
      <x:c r="I95" s="258"/>
      <x:c r="J95" s="258"/>
      <x:c r="K95" s="258"/>
      <x:c r="L95" s="258"/>
      <x:c r="M95" s="258"/>
      <x:c r="N95" s="258"/>
      <x:c r="O95" s="258"/>
      <x:c r="P95" s="258"/>
      <x:c r="Q95" s="258"/>
      <x:c r="R95" s="258"/>
      <x:c r="S95" s="258"/>
      <x:c r="T95" s="258"/>
      <x:c r="U95" s="258"/>
      <x:c r="V95" s="258"/>
      <x:c r="W95" s="258"/>
      <x:c r="X95" s="258"/>
      <x:c r="Y95" s="258"/>
      <x:c r="Z95" s="258"/>
    </x:row>
    <x:row r="96">
      <x:c r="A96" s="258"/>
      <x:c r="B96" s="258"/>
      <x:c r="C96" s="258"/>
      <x:c r="D96" s="258"/>
      <x:c r="E96" s="258"/>
      <x:c r="F96" s="258"/>
      <x:c r="G96" s="258"/>
      <x:c r="H96" s="258"/>
      <x:c r="I96" s="258"/>
      <x:c r="J96" s="258"/>
      <x:c r="K96" s="258"/>
      <x:c r="L96" s="258"/>
      <x:c r="M96" s="258"/>
      <x:c r="N96" s="258"/>
      <x:c r="O96" s="258"/>
      <x:c r="P96" s="258"/>
      <x:c r="Q96" s="258"/>
      <x:c r="R96" s="258"/>
      <x:c r="S96" s="258"/>
      <x:c r="T96" s="258"/>
      <x:c r="U96" s="258"/>
      <x:c r="V96" s="258"/>
      <x:c r="W96" s="258"/>
      <x:c r="X96" s="258"/>
      <x:c r="Y96" s="258"/>
      <x:c r="Z96" s="258"/>
    </x:row>
    <x:row r="97">
      <x:c r="A97" s="258"/>
      <x:c r="B97" s="258"/>
      <x:c r="C97" s="258"/>
      <x:c r="D97" s="258"/>
      <x:c r="E97" s="258"/>
      <x:c r="F97" s="258"/>
      <x:c r="G97" s="258"/>
      <x:c r="H97" s="258"/>
      <x:c r="I97" s="258"/>
      <x:c r="J97" s="258"/>
      <x:c r="K97" s="258"/>
      <x:c r="L97" s="258"/>
      <x:c r="M97" s="258"/>
      <x:c r="N97" s="258"/>
      <x:c r="O97" s="258"/>
      <x:c r="P97" s="258"/>
      <x:c r="Q97" s="258"/>
      <x:c r="R97" s="258"/>
      <x:c r="S97" s="258"/>
      <x:c r="T97" s="258"/>
      <x:c r="U97" s="258"/>
      <x:c r="V97" s="258"/>
      <x:c r="W97" s="258"/>
      <x:c r="X97" s="258"/>
      <x:c r="Y97" s="258"/>
      <x:c r="Z97" s="258"/>
    </x:row>
    <x:row r="98">
      <x:c r="A98" s="258"/>
      <x:c r="B98" s="258"/>
      <x:c r="C98" s="258"/>
      <x:c r="D98" s="258"/>
      <x:c r="E98" s="258"/>
      <x:c r="F98" s="258"/>
      <x:c r="G98" s="258"/>
      <x:c r="H98" s="258"/>
      <x:c r="I98" s="258"/>
      <x:c r="J98" s="258"/>
      <x:c r="K98" s="258"/>
      <x:c r="L98" s="258"/>
      <x:c r="M98" s="258"/>
      <x:c r="N98" s="258"/>
      <x:c r="O98" s="258"/>
      <x:c r="P98" s="258"/>
      <x:c r="Q98" s="258"/>
      <x:c r="R98" s="258"/>
      <x:c r="S98" s="258"/>
      <x:c r="T98" s="258"/>
      <x:c r="U98" s="258"/>
      <x:c r="V98" s="258"/>
      <x:c r="W98" s="258"/>
      <x:c r="X98" s="258"/>
      <x:c r="Y98" s="258"/>
      <x:c r="Z98" s="258"/>
    </x:row>
    <x:row r="99">
      <x:c r="A99" s="258"/>
      <x:c r="B99" s="258"/>
      <x:c r="C99" s="258"/>
      <x:c r="D99" s="258"/>
      <x:c r="E99" s="258"/>
      <x:c r="F99" s="258"/>
      <x:c r="G99" s="258"/>
      <x:c r="H99" s="258"/>
      <x:c r="I99" s="258"/>
      <x:c r="J99" s="258"/>
      <x:c r="K99" s="258"/>
      <x:c r="L99" s="258"/>
      <x:c r="M99" s="258"/>
      <x:c r="N99" s="258"/>
      <x:c r="O99" s="258"/>
      <x:c r="P99" s="258"/>
      <x:c r="Q99" s="258"/>
      <x:c r="R99" s="258"/>
      <x:c r="S99" s="258"/>
      <x:c r="T99" s="258"/>
      <x:c r="U99" s="258"/>
      <x:c r="V99" s="258"/>
      <x:c r="W99" s="258"/>
      <x:c r="X99" s="258"/>
      <x:c r="Y99" s="258"/>
      <x:c r="Z99" s="258"/>
    </x:row>
    <x:row r="100">
      <x:c r="A100" s="258"/>
      <x:c r="B100" s="258"/>
      <x:c r="C100" s="258"/>
      <x:c r="D100" s="258"/>
      <x:c r="E100" s="258"/>
      <x:c r="F100" s="258"/>
      <x:c r="G100" s="258"/>
      <x:c r="H100" s="258"/>
      <x:c r="I100" s="258"/>
      <x:c r="J100" s="258"/>
      <x:c r="K100" s="258"/>
      <x:c r="L100" s="258"/>
      <x:c r="M100" s="258"/>
      <x:c r="N100" s="258"/>
      <x:c r="O100" s="258"/>
      <x:c r="P100" s="258"/>
      <x:c r="Q100" s="258"/>
      <x:c r="R100" s="258"/>
      <x:c r="S100" s="258"/>
      <x:c r="T100" s="258"/>
      <x:c r="U100" s="258"/>
      <x:c r="V100" s="258"/>
      <x:c r="W100" s="258"/>
      <x:c r="X100" s="258"/>
      <x:c r="Y100" s="258"/>
      <x:c r="Z100" s="258"/>
    </x:row>
  </x:sheetData>
  <x:mergeCells>
    <x:mergeCell ref="A1:H1"/>
  </x:mergeCells>
  <x:dataValidations count="3">
    <x:dataValidation type="list" sqref="B4:B80">
      <x:formula1>"Group,Round of 16,Quarter Final,Semi Final,Final"</x:formula1>
    </x:dataValidation>
    <x:dataValidation type="list" sqref="C4:C80">
      <x:formula1>'⚽ Results Entry'!$A$4:$A$23</x:formula1>
    </x:dataValidation>
    <x:dataValidation type="list" sqref="F4:F80">
      <x:formula1>'⚽ Results Entry'!$A$4:$A$23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c6bb89c2d2f4f56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42" customHeight="1">
      <x:c r="A1" s="346" t="str">
        <x:v>SCAN FOR LIVE SWEEPSTAKE LEADERBOARD</x:v>
      </x:c>
      <x:c r="B1" s="346"/>
      <x:c r="C1" s="346"/>
      <x:c r="D1" s="346"/>
      <x:c r="E1" s="346"/>
      <x:c r="F1" s="346"/>
      <x:c r="G1" s="258"/>
      <x:c r="H1" s="258"/>
      <x:c r="I1" s="258"/>
      <x:c r="J1" s="258"/>
      <x:c r="K1" s="258"/>
      <x:c r="L1" s="258"/>
      <x:c r="M1" s="258"/>
      <x:c r="N1" s="258"/>
      <x:c r="O1" s="258"/>
      <x:c r="P1" s="258"/>
      <x:c r="Q1" s="258"/>
      <x:c r="R1" s="258"/>
      <x:c r="S1" s="258"/>
      <x:c r="T1" s="258"/>
      <x:c r="U1" s="258"/>
      <x:c r="V1" s="258"/>
      <x:c r="W1" s="258"/>
      <x:c r="X1" s="258"/>
      <x:c r="Y1" s="258"/>
      <x:c r="Z1" s="258"/>
    </x:row>
    <x:row r="2">
      <x:c r="A2" s="258"/>
      <x:c r="B2" s="258"/>
      <x:c r="C2" s="258"/>
      <x:c r="D2" s="258"/>
      <x:c r="E2" s="258"/>
      <x:c r="F2" s="258"/>
      <x:c r="G2" s="258"/>
      <x:c r="H2" s="258"/>
      <x:c r="I2" s="258"/>
      <x:c r="J2" s="258"/>
      <x:c r="K2" s="258"/>
      <x:c r="L2" s="258"/>
      <x:c r="M2" s="258"/>
      <x:c r="N2" s="258"/>
      <x:c r="O2" s="258"/>
      <x:c r="P2" s="258"/>
      <x:c r="Q2" s="258"/>
      <x:c r="R2" s="258"/>
      <x:c r="S2" s="258"/>
      <x:c r="T2" s="258"/>
      <x:c r="U2" s="258"/>
      <x:c r="V2" s="258"/>
      <x:c r="W2" s="258"/>
      <x:c r="X2" s="258"/>
      <x:c r="Y2" s="258"/>
      <x:c r="Z2" s="258"/>
    </x:row>
    <x:row r="3" ht="36" customHeight="1">
      <x:c r="A3" s="347" t="str">
        <x:v>Upload this workbook to Google Sheets, set sharing to 'Anyone with the link can view', then paste the QR code image below.</x:v>
      </x:c>
      <x:c r="B3" s="347"/>
      <x:c r="C3" s="347"/>
      <x:c r="D3" s="347"/>
      <x:c r="E3" s="347"/>
      <x:c r="F3" s="347"/>
      <x:c r="G3" s="258"/>
      <x:c r="H3" s="258"/>
      <x:c r="I3" s="258"/>
      <x:c r="J3" s="258"/>
      <x:c r="K3" s="258"/>
      <x:c r="L3" s="258"/>
      <x:c r="M3" s="258"/>
      <x:c r="N3" s="258"/>
      <x:c r="O3" s="258"/>
      <x:c r="P3" s="258"/>
      <x:c r="Q3" s="258"/>
      <x:c r="R3" s="258"/>
      <x:c r="S3" s="258"/>
      <x:c r="T3" s="258"/>
      <x:c r="U3" s="258"/>
      <x:c r="V3" s="258"/>
      <x:c r="W3" s="258"/>
      <x:c r="X3" s="258"/>
      <x:c r="Y3" s="258"/>
      <x:c r="Z3" s="258"/>
    </x:row>
    <x:row r="4">
      <x:c r="A4" s="258"/>
      <x:c r="B4" s="258"/>
      <x:c r="C4" s="258"/>
      <x:c r="D4" s="258"/>
      <x:c r="E4" s="258"/>
      <x:c r="F4" s="258"/>
      <x:c r="G4" s="258"/>
      <x:c r="H4" s="258"/>
      <x:c r="I4" s="258"/>
      <x:c r="J4" s="258"/>
      <x:c r="K4" s="258"/>
      <x:c r="L4" s="258"/>
      <x:c r="M4" s="258"/>
      <x:c r="N4" s="258"/>
      <x:c r="O4" s="258"/>
      <x:c r="P4" s="258"/>
      <x:c r="Q4" s="258"/>
      <x:c r="R4" s="258"/>
      <x:c r="S4" s="258"/>
      <x:c r="T4" s="258"/>
      <x:c r="U4" s="258"/>
      <x:c r="V4" s="258"/>
      <x:c r="W4" s="258"/>
      <x:c r="X4" s="258"/>
      <x:c r="Y4" s="258"/>
      <x:c r="Z4" s="258"/>
    </x:row>
    <x:row r="5">
      <x:c r="A5" s="258"/>
      <x:c r="B5" s="205" t="str">
        <x:v>PLACE QR CODE HERE</x:v>
      </x:c>
      <x:c r="C5" s="206"/>
      <x:c r="D5" s="206"/>
      <x:c r="E5" s="207"/>
      <x:c r="F5" s="258"/>
      <x:c r="G5" s="258"/>
      <x:c r="H5" s="258"/>
      <x:c r="I5" s="258"/>
      <x:c r="J5" s="258"/>
      <x:c r="K5" s="258"/>
      <x:c r="L5" s="258"/>
      <x:c r="M5" s="258"/>
      <x:c r="N5" s="258"/>
      <x:c r="O5" s="258"/>
      <x:c r="P5" s="258"/>
      <x:c r="Q5" s="258"/>
      <x:c r="R5" s="258"/>
      <x:c r="S5" s="258"/>
      <x:c r="T5" s="258"/>
      <x:c r="U5" s="258"/>
      <x:c r="V5" s="258"/>
      <x:c r="W5" s="258"/>
      <x:c r="X5" s="258"/>
      <x:c r="Y5" s="258"/>
      <x:c r="Z5" s="258"/>
    </x:row>
    <x:row r="6">
      <x:c r="A6" s="258"/>
      <x:c r="B6" s="208"/>
      <x:c r="C6" s="209"/>
      <x:c r="D6" s="209"/>
      <x:c r="E6" s="210"/>
      <x:c r="F6" s="258"/>
      <x:c r="G6" s="258"/>
      <x:c r="H6" s="258"/>
      <x:c r="I6" s="258"/>
      <x:c r="J6" s="258"/>
      <x:c r="K6" s="258"/>
      <x:c r="L6" s="258"/>
      <x:c r="M6" s="258"/>
      <x:c r="N6" s="258"/>
      <x:c r="O6" s="258"/>
      <x:c r="P6" s="258"/>
      <x:c r="Q6" s="258"/>
      <x:c r="R6" s="258"/>
      <x:c r="S6" s="258"/>
      <x:c r="T6" s="258"/>
      <x:c r="U6" s="258"/>
      <x:c r="V6" s="258"/>
      <x:c r="W6" s="258"/>
      <x:c r="X6" s="258"/>
      <x:c r="Y6" s="258"/>
      <x:c r="Z6" s="258"/>
    </x:row>
    <x:row r="7">
      <x:c r="A7" s="258"/>
      <x:c r="B7" s="208"/>
      <x:c r="C7" s="209"/>
      <x:c r="D7" s="209"/>
      <x:c r="E7" s="210"/>
      <x:c r="F7" s="258"/>
      <x:c r="G7" s="258"/>
      <x:c r="H7" s="258"/>
      <x:c r="I7" s="258"/>
      <x:c r="J7" s="258"/>
      <x:c r="K7" s="258"/>
      <x:c r="L7" s="258"/>
      <x:c r="M7" s="258"/>
      <x:c r="N7" s="258"/>
      <x:c r="O7" s="258"/>
      <x:c r="P7" s="258"/>
      <x:c r="Q7" s="258"/>
      <x:c r="R7" s="258"/>
      <x:c r="S7" s="258"/>
      <x:c r="T7" s="258"/>
      <x:c r="U7" s="258"/>
      <x:c r="V7" s="258"/>
      <x:c r="W7" s="258"/>
      <x:c r="X7" s="258"/>
      <x:c r="Y7" s="258"/>
      <x:c r="Z7" s="258"/>
    </x:row>
    <x:row r="8">
      <x:c r="A8" s="258"/>
      <x:c r="B8" s="208"/>
      <x:c r="C8" s="209"/>
      <x:c r="D8" s="209"/>
      <x:c r="E8" s="210"/>
      <x:c r="F8" s="258"/>
      <x:c r="G8" s="258"/>
      <x:c r="H8" s="258"/>
      <x:c r="I8" s="258"/>
      <x:c r="J8" s="258"/>
      <x:c r="K8" s="258"/>
      <x:c r="L8" s="258"/>
      <x:c r="M8" s="258"/>
      <x:c r="N8" s="258"/>
      <x:c r="O8" s="258"/>
      <x:c r="P8" s="258"/>
      <x:c r="Q8" s="258"/>
      <x:c r="R8" s="258"/>
      <x:c r="S8" s="258"/>
      <x:c r="T8" s="258"/>
      <x:c r="U8" s="258"/>
      <x:c r="V8" s="258"/>
      <x:c r="W8" s="258"/>
      <x:c r="X8" s="258"/>
      <x:c r="Y8" s="258"/>
      <x:c r="Z8" s="258"/>
    </x:row>
    <x:row r="9">
      <x:c r="A9" s="258"/>
      <x:c r="B9" s="208"/>
      <x:c r="C9" s="209"/>
      <x:c r="D9" s="209"/>
      <x:c r="E9" s="210"/>
      <x:c r="F9" s="258"/>
      <x:c r="G9" s="258"/>
      <x:c r="H9" s="258"/>
      <x:c r="I9" s="258"/>
      <x:c r="J9" s="258"/>
      <x:c r="K9" s="258"/>
      <x:c r="L9" s="258"/>
      <x:c r="M9" s="258"/>
      <x:c r="N9" s="258"/>
      <x:c r="O9" s="258"/>
      <x:c r="P9" s="258"/>
      <x:c r="Q9" s="258"/>
      <x:c r="R9" s="258"/>
      <x:c r="S9" s="258"/>
      <x:c r="T9" s="258"/>
      <x:c r="U9" s="258"/>
      <x:c r="V9" s="258"/>
      <x:c r="W9" s="258"/>
      <x:c r="X9" s="258"/>
      <x:c r="Y9" s="258"/>
      <x:c r="Z9" s="258"/>
    </x:row>
    <x:row r="10">
      <x:c r="A10" s="258"/>
      <x:c r="B10" s="208"/>
      <x:c r="C10" s="209"/>
      <x:c r="D10" s="209"/>
      <x:c r="E10" s="210"/>
      <x:c r="F10" s="258"/>
      <x:c r="G10" s="258"/>
      <x:c r="H10" s="258"/>
      <x:c r="I10" s="258"/>
      <x:c r="J10" s="258"/>
      <x:c r="K10" s="258"/>
      <x:c r="L10" s="258"/>
      <x:c r="M10" s="258"/>
      <x:c r="N10" s="258"/>
      <x:c r="O10" s="258"/>
      <x:c r="P10" s="258"/>
      <x:c r="Q10" s="258"/>
      <x:c r="R10" s="258"/>
      <x:c r="S10" s="258"/>
      <x:c r="T10" s="258"/>
      <x:c r="U10" s="258"/>
      <x:c r="V10" s="258"/>
      <x:c r="W10" s="258"/>
      <x:c r="X10" s="258"/>
      <x:c r="Y10" s="258"/>
      <x:c r="Z10" s="258"/>
    </x:row>
    <x:row r="11">
      <x:c r="A11" s="258"/>
      <x:c r="B11" s="208"/>
      <x:c r="C11" s="209"/>
      <x:c r="D11" s="209"/>
      <x:c r="E11" s="210"/>
      <x:c r="F11" s="258"/>
      <x:c r="G11" s="258"/>
      <x:c r="H11" s="258"/>
      <x:c r="I11" s="258"/>
      <x:c r="J11" s="258"/>
      <x:c r="K11" s="258"/>
      <x:c r="L11" s="258"/>
      <x:c r="M11" s="258"/>
      <x:c r="N11" s="258"/>
      <x:c r="O11" s="258"/>
      <x:c r="P11" s="258"/>
      <x:c r="Q11" s="258"/>
      <x:c r="R11" s="258"/>
      <x:c r="S11" s="258"/>
      <x:c r="T11" s="258"/>
      <x:c r="U11" s="258"/>
      <x:c r="V11" s="258"/>
      <x:c r="W11" s="258"/>
      <x:c r="X11" s="258"/>
      <x:c r="Y11" s="258"/>
      <x:c r="Z11" s="258"/>
    </x:row>
    <x:row r="12">
      <x:c r="A12" s="258"/>
      <x:c r="B12" s="208"/>
      <x:c r="C12" s="209"/>
      <x:c r="D12" s="209"/>
      <x:c r="E12" s="210"/>
      <x:c r="F12" s="258"/>
      <x:c r="G12" s="258"/>
      <x:c r="H12" s="258"/>
      <x:c r="I12" s="258"/>
      <x:c r="J12" s="258"/>
      <x:c r="K12" s="258"/>
      <x:c r="L12" s="258"/>
      <x:c r="M12" s="258"/>
      <x:c r="N12" s="258"/>
      <x:c r="O12" s="258"/>
      <x:c r="P12" s="258"/>
      <x:c r="Q12" s="258"/>
      <x:c r="R12" s="258"/>
      <x:c r="S12" s="258"/>
      <x:c r="T12" s="258"/>
      <x:c r="U12" s="258"/>
      <x:c r="V12" s="258"/>
      <x:c r="W12" s="258"/>
      <x:c r="X12" s="258"/>
      <x:c r="Y12" s="258"/>
      <x:c r="Z12" s="258"/>
    </x:row>
    <x:row r="13">
      <x:c r="A13" s="258"/>
      <x:c r="B13" s="208"/>
      <x:c r="C13" s="209"/>
      <x:c r="D13" s="209"/>
      <x:c r="E13" s="210"/>
      <x:c r="F13" s="258"/>
      <x:c r="G13" s="258"/>
      <x:c r="H13" s="258"/>
      <x:c r="I13" s="258"/>
      <x:c r="J13" s="258"/>
      <x:c r="K13" s="258"/>
      <x:c r="L13" s="258"/>
      <x:c r="M13" s="258"/>
      <x:c r="N13" s="258"/>
      <x:c r="O13" s="258"/>
      <x:c r="P13" s="258"/>
      <x:c r="Q13" s="258"/>
      <x:c r="R13" s="258"/>
      <x:c r="S13" s="258"/>
      <x:c r="T13" s="258"/>
      <x:c r="U13" s="258"/>
      <x:c r="V13" s="258"/>
      <x:c r="W13" s="258"/>
      <x:c r="X13" s="258"/>
      <x:c r="Y13" s="258"/>
      <x:c r="Z13" s="258"/>
    </x:row>
    <x:row r="14">
      <x:c r="A14" s="258"/>
      <x:c r="B14" s="208"/>
      <x:c r="C14" s="209"/>
      <x:c r="D14" s="209"/>
      <x:c r="E14" s="210"/>
      <x:c r="F14" s="258"/>
      <x:c r="G14" s="258"/>
      <x:c r="H14" s="258"/>
      <x:c r="I14" s="258"/>
      <x:c r="J14" s="258"/>
      <x:c r="K14" s="258"/>
      <x:c r="L14" s="258"/>
      <x:c r="M14" s="258"/>
      <x:c r="N14" s="258"/>
      <x:c r="O14" s="258"/>
      <x:c r="P14" s="258"/>
      <x:c r="Q14" s="258"/>
      <x:c r="R14" s="258"/>
      <x:c r="S14" s="258"/>
      <x:c r="T14" s="258"/>
      <x:c r="U14" s="258"/>
      <x:c r="V14" s="258"/>
      <x:c r="W14" s="258"/>
      <x:c r="X14" s="258"/>
      <x:c r="Y14" s="258"/>
      <x:c r="Z14" s="258"/>
    </x:row>
    <x:row r="15">
      <x:c r="A15" s="258"/>
      <x:c r="B15" s="211"/>
      <x:c r="C15" s="212"/>
      <x:c r="D15" s="212"/>
      <x:c r="E15" s="213"/>
      <x:c r="F15" s="258"/>
      <x:c r="G15" s="258"/>
      <x:c r="H15" s="258"/>
      <x:c r="I15" s="258"/>
      <x:c r="J15" s="258"/>
      <x:c r="K15" s="258"/>
      <x:c r="L15" s="258"/>
      <x:c r="M15" s="258"/>
      <x:c r="N15" s="258"/>
      <x:c r="O15" s="258"/>
      <x:c r="P15" s="258"/>
      <x:c r="Q15" s="258"/>
      <x:c r="R15" s="258"/>
      <x:c r="S15" s="258"/>
      <x:c r="T15" s="258"/>
      <x:c r="U15" s="258"/>
      <x:c r="V15" s="258"/>
      <x:c r="W15" s="258"/>
      <x:c r="X15" s="258"/>
      <x:c r="Y15" s="258"/>
      <x:c r="Z15" s="258"/>
    </x:row>
    <x:row r="16">
      <x:c r="A16" s="258"/>
      <x:c r="B16" s="258"/>
      <x:c r="C16" s="258"/>
      <x:c r="D16" s="258"/>
      <x:c r="E16" s="258"/>
      <x:c r="F16" s="258"/>
      <x:c r="G16" s="258"/>
      <x:c r="H16" s="258"/>
      <x:c r="I16" s="258"/>
      <x:c r="J16" s="258"/>
      <x:c r="K16" s="258"/>
      <x:c r="L16" s="258"/>
      <x:c r="M16" s="258"/>
      <x:c r="N16" s="258"/>
      <x:c r="O16" s="258"/>
      <x:c r="P16" s="258"/>
      <x:c r="Q16" s="258"/>
      <x:c r="R16" s="258"/>
      <x:c r="S16" s="258"/>
      <x:c r="T16" s="258"/>
      <x:c r="U16" s="258"/>
      <x:c r="V16" s="258"/>
      <x:c r="W16" s="258"/>
      <x:c r="X16" s="258"/>
      <x:c r="Y16" s="258"/>
      <x:c r="Z16" s="258"/>
    </x:row>
    <x:row r="17" ht="30" customHeight="1">
      <x:c r="A17" s="259" t="str">
        <x:v>World Cup Sweepstake • Check your teams • Watch the leaderboard change after each match</x:v>
      </x:c>
      <x:c r="B17" s="259"/>
      <x:c r="C17" s="259"/>
      <x:c r="D17" s="259"/>
      <x:c r="E17" s="259"/>
      <x:c r="F17" s="259"/>
      <x:c r="G17" s="258"/>
      <x:c r="H17" s="258"/>
      <x:c r="I17" s="258"/>
      <x:c r="J17" s="258"/>
      <x:c r="K17" s="258"/>
      <x:c r="L17" s="258"/>
      <x:c r="M17" s="258"/>
      <x:c r="N17" s="258"/>
      <x:c r="O17" s="258"/>
      <x:c r="P17" s="258"/>
      <x:c r="Q17" s="258"/>
      <x:c r="R17" s="258"/>
      <x:c r="S17" s="258"/>
      <x:c r="T17" s="258"/>
      <x:c r="U17" s="258"/>
      <x:c r="V17" s="258"/>
      <x:c r="W17" s="258"/>
      <x:c r="X17" s="258"/>
      <x:c r="Y17" s="258"/>
      <x:c r="Z17" s="258"/>
    </x:row>
    <x:row r="18">
      <x:c r="A18" s="258"/>
      <x:c r="B18" s="258"/>
      <x:c r="C18" s="258"/>
      <x:c r="D18" s="258"/>
      <x:c r="E18" s="258"/>
      <x:c r="F18" s="258"/>
      <x:c r="G18" s="258"/>
      <x:c r="H18" s="258"/>
      <x:c r="I18" s="258"/>
      <x:c r="J18" s="258"/>
      <x:c r="K18" s="258"/>
      <x:c r="L18" s="258"/>
      <x:c r="M18" s="258"/>
      <x:c r="N18" s="258"/>
      <x:c r="O18" s="258"/>
      <x:c r="P18" s="258"/>
      <x:c r="Q18" s="258"/>
      <x:c r="R18" s="258"/>
      <x:c r="S18" s="258"/>
      <x:c r="T18" s="258"/>
      <x:c r="U18" s="258"/>
      <x:c r="V18" s="258"/>
      <x:c r="W18" s="258"/>
      <x:c r="X18" s="258"/>
      <x:c r="Y18" s="258"/>
      <x:c r="Z18" s="258"/>
    </x:row>
    <x:row r="19">
      <x:c r="A19" s="258"/>
      <x:c r="B19" s="258"/>
      <x:c r="C19" s="258"/>
      <x:c r="D19" s="258"/>
      <x:c r="E19" s="258"/>
      <x:c r="F19" s="258"/>
      <x:c r="G19" s="258"/>
      <x:c r="H19" s="258"/>
      <x:c r="I19" s="258"/>
      <x:c r="J19" s="258"/>
      <x:c r="K19" s="258"/>
      <x:c r="L19" s="258"/>
      <x:c r="M19" s="258"/>
      <x:c r="N19" s="258"/>
      <x:c r="O19" s="258"/>
      <x:c r="P19" s="258"/>
      <x:c r="Q19" s="258"/>
      <x:c r="R19" s="258"/>
      <x:c r="S19" s="258"/>
      <x:c r="T19" s="258"/>
      <x:c r="U19" s="258"/>
      <x:c r="V19" s="258"/>
      <x:c r="W19" s="258"/>
      <x:c r="X19" s="258"/>
      <x:c r="Y19" s="258"/>
      <x:c r="Z19" s="258"/>
    </x:row>
    <x:row r="20">
      <x:c r="A20" s="258"/>
      <x:c r="B20" s="258"/>
      <x:c r="C20" s="258"/>
      <x:c r="D20" s="258"/>
      <x:c r="E20" s="258"/>
      <x:c r="F20" s="258"/>
      <x:c r="G20" s="258"/>
      <x:c r="H20" s="258"/>
      <x:c r="I20" s="258"/>
      <x:c r="J20" s="258"/>
      <x:c r="K20" s="258"/>
      <x:c r="L20" s="258"/>
      <x:c r="M20" s="258"/>
      <x:c r="N20" s="258"/>
      <x:c r="O20" s="258"/>
      <x:c r="P20" s="258"/>
      <x:c r="Q20" s="258"/>
      <x:c r="R20" s="258"/>
      <x:c r="S20" s="258"/>
      <x:c r="T20" s="258"/>
      <x:c r="U20" s="258"/>
      <x:c r="V20" s="258"/>
      <x:c r="W20" s="258"/>
      <x:c r="X20" s="258"/>
      <x:c r="Y20" s="258"/>
      <x:c r="Z20" s="258"/>
    </x:row>
    <x:row r="21">
      <x:c r="A21" s="258"/>
      <x:c r="B21" s="258"/>
      <x:c r="C21" s="258"/>
      <x:c r="D21" s="258"/>
      <x:c r="E21" s="258"/>
      <x:c r="F21" s="258"/>
      <x:c r="G21" s="258"/>
      <x:c r="H21" s="258"/>
      <x:c r="I21" s="258"/>
      <x:c r="J21" s="258"/>
      <x:c r="K21" s="258"/>
      <x:c r="L21" s="258"/>
      <x:c r="M21" s="258"/>
      <x:c r="N21" s="258"/>
      <x:c r="O21" s="258"/>
      <x:c r="P21" s="258"/>
      <x:c r="Q21" s="258"/>
      <x:c r="R21" s="258"/>
      <x:c r="S21" s="258"/>
      <x:c r="T21" s="258"/>
      <x:c r="U21" s="258"/>
      <x:c r="V21" s="258"/>
      <x:c r="W21" s="258"/>
      <x:c r="X21" s="258"/>
      <x:c r="Y21" s="258"/>
      <x:c r="Z21" s="258"/>
    </x:row>
    <x:row r="22">
      <x:c r="A22" s="258"/>
      <x:c r="B22" s="258"/>
      <x:c r="C22" s="258"/>
      <x:c r="D22" s="258"/>
      <x:c r="E22" s="258"/>
      <x:c r="F22" s="258"/>
      <x:c r="G22" s="258"/>
      <x:c r="H22" s="258"/>
      <x:c r="I22" s="258"/>
      <x:c r="J22" s="258"/>
      <x:c r="K22" s="258"/>
      <x:c r="L22" s="258"/>
      <x:c r="M22" s="258"/>
      <x:c r="N22" s="258"/>
      <x:c r="O22" s="258"/>
      <x:c r="P22" s="258"/>
      <x:c r="Q22" s="258"/>
      <x:c r="R22" s="258"/>
      <x:c r="S22" s="258"/>
      <x:c r="T22" s="258"/>
      <x:c r="U22" s="258"/>
      <x:c r="V22" s="258"/>
      <x:c r="W22" s="258"/>
      <x:c r="X22" s="258"/>
      <x:c r="Y22" s="258"/>
      <x:c r="Z22" s="258"/>
    </x:row>
    <x:row r="23">
      <x:c r="A23" s="258"/>
      <x:c r="B23" s="258"/>
      <x:c r="C23" s="258"/>
      <x:c r="D23" s="258"/>
      <x:c r="E23" s="258"/>
      <x:c r="F23" s="258"/>
      <x:c r="G23" s="258"/>
      <x:c r="H23" s="258"/>
      <x:c r="I23" s="258"/>
      <x:c r="J23" s="258"/>
      <x:c r="K23" s="258"/>
      <x:c r="L23" s="258"/>
      <x:c r="M23" s="258"/>
      <x:c r="N23" s="258"/>
      <x:c r="O23" s="258"/>
      <x:c r="P23" s="258"/>
      <x:c r="Q23" s="258"/>
      <x:c r="R23" s="258"/>
      <x:c r="S23" s="258"/>
      <x:c r="T23" s="258"/>
      <x:c r="U23" s="258"/>
      <x:c r="V23" s="258"/>
      <x:c r="W23" s="258"/>
      <x:c r="X23" s="258"/>
      <x:c r="Y23" s="258"/>
      <x:c r="Z23" s="258"/>
    </x:row>
    <x:row r="24">
      <x:c r="A24" s="258"/>
      <x:c r="B24" s="258"/>
      <x:c r="C24" s="258"/>
      <x:c r="D24" s="258"/>
      <x:c r="E24" s="258"/>
      <x:c r="F24" s="258"/>
      <x:c r="G24" s="258"/>
      <x:c r="H24" s="258"/>
      <x:c r="I24" s="258"/>
      <x:c r="J24" s="258"/>
      <x:c r="K24" s="258"/>
      <x:c r="L24" s="258"/>
      <x:c r="M24" s="258"/>
      <x:c r="N24" s="258"/>
      <x:c r="O24" s="258"/>
      <x:c r="P24" s="258"/>
      <x:c r="Q24" s="258"/>
      <x:c r="R24" s="258"/>
      <x:c r="S24" s="258"/>
      <x:c r="T24" s="258"/>
      <x:c r="U24" s="258"/>
      <x:c r="V24" s="258"/>
      <x:c r="W24" s="258"/>
      <x:c r="X24" s="258"/>
      <x:c r="Y24" s="258"/>
      <x:c r="Z24" s="258"/>
    </x:row>
    <x:row r="25">
      <x:c r="A25" s="258"/>
      <x:c r="B25" s="258"/>
      <x:c r="C25" s="258"/>
      <x:c r="D25" s="258"/>
      <x:c r="E25" s="258"/>
      <x:c r="F25" s="258"/>
      <x:c r="G25" s="258"/>
      <x:c r="H25" s="258"/>
      <x:c r="I25" s="258"/>
      <x:c r="J25" s="258"/>
      <x:c r="K25" s="258"/>
      <x:c r="L25" s="258"/>
      <x:c r="M25" s="258"/>
      <x:c r="N25" s="258"/>
      <x:c r="O25" s="258"/>
      <x:c r="P25" s="258"/>
      <x:c r="Q25" s="258"/>
      <x:c r="R25" s="258"/>
      <x:c r="S25" s="258"/>
      <x:c r="T25" s="258"/>
      <x:c r="U25" s="258"/>
      <x:c r="V25" s="258"/>
      <x:c r="W25" s="258"/>
      <x:c r="X25" s="258"/>
      <x:c r="Y25" s="258"/>
      <x:c r="Z25" s="258"/>
    </x:row>
    <x:row r="26">
      <x:c r="A26" s="258"/>
      <x:c r="B26" s="258"/>
      <x:c r="C26" s="258"/>
      <x:c r="D26" s="258"/>
      <x:c r="E26" s="258"/>
      <x:c r="F26" s="258"/>
      <x:c r="G26" s="258"/>
      <x:c r="H26" s="258"/>
      <x:c r="I26" s="258"/>
      <x:c r="J26" s="258"/>
      <x:c r="K26" s="258"/>
      <x:c r="L26" s="258"/>
      <x:c r="M26" s="258"/>
      <x:c r="N26" s="258"/>
      <x:c r="O26" s="258"/>
      <x:c r="P26" s="258"/>
      <x:c r="Q26" s="258"/>
      <x:c r="R26" s="258"/>
      <x:c r="S26" s="258"/>
      <x:c r="T26" s="258"/>
      <x:c r="U26" s="258"/>
      <x:c r="V26" s="258"/>
      <x:c r="W26" s="258"/>
      <x:c r="X26" s="258"/>
      <x:c r="Y26" s="258"/>
      <x:c r="Z26" s="258"/>
    </x:row>
    <x:row r="27">
      <x:c r="A27" s="258"/>
      <x:c r="B27" s="258"/>
      <x:c r="C27" s="258"/>
      <x:c r="D27" s="258"/>
      <x:c r="E27" s="258"/>
      <x:c r="F27" s="258"/>
      <x:c r="G27" s="258"/>
      <x:c r="H27" s="258"/>
      <x:c r="I27" s="258"/>
      <x:c r="J27" s="258"/>
      <x:c r="K27" s="258"/>
      <x:c r="L27" s="258"/>
      <x:c r="M27" s="258"/>
      <x:c r="N27" s="258"/>
      <x:c r="O27" s="258"/>
      <x:c r="P27" s="258"/>
      <x:c r="Q27" s="258"/>
      <x:c r="R27" s="258"/>
      <x:c r="S27" s="258"/>
      <x:c r="T27" s="258"/>
      <x:c r="U27" s="258"/>
      <x:c r="V27" s="258"/>
      <x:c r="W27" s="258"/>
      <x:c r="X27" s="258"/>
      <x:c r="Y27" s="258"/>
      <x:c r="Z27" s="258"/>
    </x:row>
    <x:row r="28">
      <x:c r="A28" s="258"/>
      <x:c r="B28" s="258"/>
      <x:c r="C28" s="258"/>
      <x:c r="D28" s="258"/>
      <x:c r="E28" s="258"/>
      <x:c r="F28" s="258"/>
      <x:c r="G28" s="258"/>
      <x:c r="H28" s="258"/>
      <x:c r="I28" s="258"/>
      <x:c r="J28" s="258"/>
      <x:c r="K28" s="258"/>
      <x:c r="L28" s="258"/>
      <x:c r="M28" s="258"/>
      <x:c r="N28" s="258"/>
      <x:c r="O28" s="258"/>
      <x:c r="P28" s="258"/>
      <x:c r="Q28" s="258"/>
      <x:c r="R28" s="258"/>
      <x:c r="S28" s="258"/>
      <x:c r="T28" s="258"/>
      <x:c r="U28" s="258"/>
      <x:c r="V28" s="258"/>
      <x:c r="W28" s="258"/>
      <x:c r="X28" s="258"/>
      <x:c r="Y28" s="258"/>
      <x:c r="Z28" s="258"/>
    </x:row>
    <x:row r="29">
      <x:c r="A29" s="258"/>
      <x:c r="B29" s="258"/>
      <x:c r="C29" s="258"/>
      <x:c r="D29" s="258"/>
      <x:c r="E29" s="258"/>
      <x:c r="F29" s="258"/>
      <x:c r="G29" s="258"/>
      <x:c r="H29" s="258"/>
      <x:c r="I29" s="258"/>
      <x:c r="J29" s="258"/>
      <x:c r="K29" s="258"/>
      <x:c r="L29" s="258"/>
      <x:c r="M29" s="258"/>
      <x:c r="N29" s="258"/>
      <x:c r="O29" s="258"/>
      <x:c r="P29" s="258"/>
      <x:c r="Q29" s="258"/>
      <x:c r="R29" s="258"/>
      <x:c r="S29" s="258"/>
      <x:c r="T29" s="258"/>
      <x:c r="U29" s="258"/>
      <x:c r="V29" s="258"/>
      <x:c r="W29" s="258"/>
      <x:c r="X29" s="258"/>
      <x:c r="Y29" s="258"/>
      <x:c r="Z29" s="258"/>
    </x:row>
    <x:row r="30">
      <x:c r="A30" s="258"/>
      <x:c r="B30" s="258"/>
      <x:c r="C30" s="258"/>
      <x:c r="D30" s="258"/>
      <x:c r="E30" s="258"/>
      <x:c r="F30" s="258"/>
      <x:c r="G30" s="258"/>
      <x:c r="H30" s="258"/>
      <x:c r="I30" s="258"/>
      <x:c r="J30" s="258"/>
      <x:c r="K30" s="258"/>
      <x:c r="L30" s="258"/>
      <x:c r="M30" s="258"/>
      <x:c r="N30" s="258"/>
      <x:c r="O30" s="258"/>
      <x:c r="P30" s="258"/>
      <x:c r="Q30" s="258"/>
      <x:c r="R30" s="258"/>
      <x:c r="S30" s="258"/>
      <x:c r="T30" s="258"/>
      <x:c r="U30" s="258"/>
      <x:c r="V30" s="258"/>
      <x:c r="W30" s="258"/>
      <x:c r="X30" s="258"/>
      <x:c r="Y30" s="258"/>
      <x:c r="Z30" s="258"/>
    </x:row>
    <x:row r="31">
      <x:c r="A31" s="258"/>
      <x:c r="B31" s="258"/>
      <x:c r="C31" s="258"/>
      <x:c r="D31" s="258"/>
      <x:c r="E31" s="258"/>
      <x:c r="F31" s="258"/>
      <x:c r="G31" s="258"/>
      <x:c r="H31" s="258"/>
      <x:c r="I31" s="258"/>
      <x:c r="J31" s="258"/>
      <x:c r="K31" s="258"/>
      <x:c r="L31" s="258"/>
      <x:c r="M31" s="258"/>
      <x:c r="N31" s="258"/>
      <x:c r="O31" s="258"/>
      <x:c r="P31" s="258"/>
      <x:c r="Q31" s="258"/>
      <x:c r="R31" s="258"/>
      <x:c r="S31" s="258"/>
      <x:c r="T31" s="258"/>
      <x:c r="U31" s="258"/>
      <x:c r="V31" s="258"/>
      <x:c r="W31" s="258"/>
      <x:c r="X31" s="258"/>
      <x:c r="Y31" s="258"/>
      <x:c r="Z31" s="258"/>
    </x:row>
    <x:row r="32">
      <x:c r="A32" s="258"/>
      <x:c r="B32" s="258"/>
      <x:c r="C32" s="258"/>
      <x:c r="D32" s="258"/>
      <x:c r="E32" s="258"/>
      <x:c r="F32" s="258"/>
      <x:c r="G32" s="258"/>
      <x:c r="H32" s="258"/>
      <x:c r="I32" s="258"/>
      <x:c r="J32" s="258"/>
      <x:c r="K32" s="258"/>
      <x:c r="L32" s="258"/>
      <x:c r="M32" s="258"/>
      <x:c r="N32" s="258"/>
      <x:c r="O32" s="258"/>
      <x:c r="P32" s="258"/>
      <x:c r="Q32" s="258"/>
      <x:c r="R32" s="258"/>
      <x:c r="S32" s="258"/>
      <x:c r="T32" s="258"/>
      <x:c r="U32" s="258"/>
      <x:c r="V32" s="258"/>
      <x:c r="W32" s="258"/>
      <x:c r="X32" s="258"/>
      <x:c r="Y32" s="258"/>
      <x:c r="Z32" s="258"/>
    </x:row>
    <x:row r="33">
      <x:c r="A33" s="258"/>
      <x:c r="B33" s="258"/>
      <x:c r="C33" s="258"/>
      <x:c r="D33" s="258"/>
      <x:c r="E33" s="258"/>
      <x:c r="F33" s="258"/>
      <x:c r="G33" s="258"/>
      <x:c r="H33" s="258"/>
      <x:c r="I33" s="258"/>
      <x:c r="J33" s="258"/>
      <x:c r="K33" s="258"/>
      <x:c r="L33" s="258"/>
      <x:c r="M33" s="258"/>
      <x:c r="N33" s="258"/>
      <x:c r="O33" s="258"/>
      <x:c r="P33" s="258"/>
      <x:c r="Q33" s="258"/>
      <x:c r="R33" s="258"/>
      <x:c r="S33" s="258"/>
      <x:c r="T33" s="258"/>
      <x:c r="U33" s="258"/>
      <x:c r="V33" s="258"/>
      <x:c r="W33" s="258"/>
      <x:c r="X33" s="258"/>
      <x:c r="Y33" s="258"/>
      <x:c r="Z33" s="258"/>
    </x:row>
    <x:row r="34">
      <x:c r="A34" s="258"/>
      <x:c r="B34" s="258"/>
      <x:c r="C34" s="258"/>
      <x:c r="D34" s="258"/>
      <x:c r="E34" s="258"/>
      <x:c r="F34" s="258"/>
      <x:c r="G34" s="258"/>
      <x:c r="H34" s="258"/>
      <x:c r="I34" s="258"/>
      <x:c r="J34" s="258"/>
      <x:c r="K34" s="258"/>
      <x:c r="L34" s="258"/>
      <x:c r="M34" s="258"/>
      <x:c r="N34" s="258"/>
      <x:c r="O34" s="258"/>
      <x:c r="P34" s="258"/>
      <x:c r="Q34" s="258"/>
      <x:c r="R34" s="258"/>
      <x:c r="S34" s="258"/>
      <x:c r="T34" s="258"/>
      <x:c r="U34" s="258"/>
      <x:c r="V34" s="258"/>
      <x:c r="W34" s="258"/>
      <x:c r="X34" s="258"/>
      <x:c r="Y34" s="258"/>
      <x:c r="Z34" s="258"/>
    </x:row>
    <x:row r="35">
      <x:c r="A35" s="258"/>
      <x:c r="B35" s="258"/>
      <x:c r="C35" s="258"/>
      <x:c r="D35" s="258"/>
      <x:c r="E35" s="258"/>
      <x:c r="F35" s="258"/>
      <x:c r="G35" s="258"/>
      <x:c r="H35" s="258"/>
      <x:c r="I35" s="258"/>
      <x:c r="J35" s="258"/>
      <x:c r="K35" s="258"/>
      <x:c r="L35" s="258"/>
      <x:c r="M35" s="258"/>
      <x:c r="N35" s="258"/>
      <x:c r="O35" s="258"/>
      <x:c r="P35" s="258"/>
      <x:c r="Q35" s="258"/>
      <x:c r="R35" s="258"/>
      <x:c r="S35" s="258"/>
      <x:c r="T35" s="258"/>
      <x:c r="U35" s="258"/>
      <x:c r="V35" s="258"/>
      <x:c r="W35" s="258"/>
      <x:c r="X35" s="258"/>
      <x:c r="Y35" s="258"/>
      <x:c r="Z35" s="258"/>
    </x:row>
    <x:row r="36">
      <x:c r="A36" s="258"/>
      <x:c r="B36" s="258"/>
      <x:c r="C36" s="258"/>
      <x:c r="D36" s="258"/>
      <x:c r="E36" s="258"/>
      <x:c r="F36" s="258"/>
      <x:c r="G36" s="258"/>
      <x:c r="H36" s="258"/>
      <x:c r="I36" s="258"/>
      <x:c r="J36" s="258"/>
      <x:c r="K36" s="258"/>
      <x:c r="L36" s="258"/>
      <x:c r="M36" s="258"/>
      <x:c r="N36" s="258"/>
      <x:c r="O36" s="258"/>
      <x:c r="P36" s="258"/>
      <x:c r="Q36" s="258"/>
      <x:c r="R36" s="258"/>
      <x:c r="S36" s="258"/>
      <x:c r="T36" s="258"/>
      <x:c r="U36" s="258"/>
      <x:c r="V36" s="258"/>
      <x:c r="W36" s="258"/>
      <x:c r="X36" s="258"/>
      <x:c r="Y36" s="258"/>
      <x:c r="Z36" s="258"/>
    </x:row>
    <x:row r="37">
      <x:c r="A37" s="258"/>
      <x:c r="B37" s="258"/>
      <x:c r="C37" s="258"/>
      <x:c r="D37" s="258"/>
      <x:c r="E37" s="258"/>
      <x:c r="F37" s="258"/>
      <x:c r="G37" s="258"/>
      <x:c r="H37" s="258"/>
      <x:c r="I37" s="258"/>
      <x:c r="J37" s="258"/>
      <x:c r="K37" s="258"/>
      <x:c r="L37" s="258"/>
      <x:c r="M37" s="258"/>
      <x:c r="N37" s="258"/>
      <x:c r="O37" s="258"/>
      <x:c r="P37" s="258"/>
      <x:c r="Q37" s="258"/>
      <x:c r="R37" s="258"/>
      <x:c r="S37" s="258"/>
      <x:c r="T37" s="258"/>
      <x:c r="U37" s="258"/>
      <x:c r="V37" s="258"/>
      <x:c r="W37" s="258"/>
      <x:c r="X37" s="258"/>
      <x:c r="Y37" s="258"/>
      <x:c r="Z37" s="258"/>
    </x:row>
    <x:row r="38">
      <x:c r="A38" s="258"/>
      <x:c r="B38" s="258"/>
      <x:c r="C38" s="258"/>
      <x:c r="D38" s="258"/>
      <x:c r="E38" s="258"/>
      <x:c r="F38" s="258"/>
      <x:c r="G38" s="258"/>
      <x:c r="H38" s="258"/>
      <x:c r="I38" s="258"/>
      <x:c r="J38" s="258"/>
      <x:c r="K38" s="258"/>
      <x:c r="L38" s="258"/>
      <x:c r="M38" s="258"/>
      <x:c r="N38" s="258"/>
      <x:c r="O38" s="258"/>
      <x:c r="P38" s="258"/>
      <x:c r="Q38" s="258"/>
      <x:c r="R38" s="258"/>
      <x:c r="S38" s="258"/>
      <x:c r="T38" s="258"/>
      <x:c r="U38" s="258"/>
      <x:c r="V38" s="258"/>
      <x:c r="W38" s="258"/>
      <x:c r="X38" s="258"/>
      <x:c r="Y38" s="258"/>
      <x:c r="Z38" s="258"/>
    </x:row>
    <x:row r="39">
      <x:c r="A39" s="258"/>
      <x:c r="B39" s="258"/>
      <x:c r="C39" s="258"/>
      <x:c r="D39" s="258"/>
      <x:c r="E39" s="258"/>
      <x:c r="F39" s="258"/>
      <x:c r="G39" s="258"/>
      <x:c r="H39" s="258"/>
      <x:c r="I39" s="258"/>
      <x:c r="J39" s="258"/>
      <x:c r="K39" s="258"/>
      <x:c r="L39" s="258"/>
      <x:c r="M39" s="258"/>
      <x:c r="N39" s="258"/>
      <x:c r="O39" s="258"/>
      <x:c r="P39" s="258"/>
      <x:c r="Q39" s="258"/>
      <x:c r="R39" s="258"/>
      <x:c r="S39" s="258"/>
      <x:c r="T39" s="258"/>
      <x:c r="U39" s="258"/>
      <x:c r="V39" s="258"/>
      <x:c r="W39" s="258"/>
      <x:c r="X39" s="258"/>
      <x:c r="Y39" s="258"/>
      <x:c r="Z39" s="258"/>
    </x:row>
    <x:row r="40">
      <x:c r="A40" s="258"/>
      <x:c r="B40" s="258"/>
      <x:c r="C40" s="258"/>
      <x:c r="D40" s="258"/>
      <x:c r="E40" s="258"/>
      <x:c r="F40" s="258"/>
      <x:c r="G40" s="258"/>
      <x:c r="H40" s="258"/>
      <x:c r="I40" s="258"/>
      <x:c r="J40" s="258"/>
      <x:c r="K40" s="258"/>
      <x:c r="L40" s="258"/>
      <x:c r="M40" s="258"/>
      <x:c r="N40" s="258"/>
      <x:c r="O40" s="258"/>
      <x:c r="P40" s="258"/>
      <x:c r="Q40" s="258"/>
      <x:c r="R40" s="258"/>
      <x:c r="S40" s="258"/>
      <x:c r="T40" s="258"/>
      <x:c r="U40" s="258"/>
      <x:c r="V40" s="258"/>
      <x:c r="W40" s="258"/>
      <x:c r="X40" s="258"/>
      <x:c r="Y40" s="258"/>
      <x:c r="Z40" s="258"/>
    </x:row>
    <x:row r="41">
      <x:c r="A41" s="258"/>
      <x:c r="B41" s="258"/>
      <x:c r="C41" s="258"/>
      <x:c r="D41" s="258"/>
      <x:c r="E41" s="258"/>
      <x:c r="F41" s="258"/>
      <x:c r="G41" s="258"/>
      <x:c r="H41" s="258"/>
      <x:c r="I41" s="258"/>
      <x:c r="J41" s="258"/>
      <x:c r="K41" s="258"/>
      <x:c r="L41" s="258"/>
      <x:c r="M41" s="258"/>
      <x:c r="N41" s="258"/>
      <x:c r="O41" s="258"/>
      <x:c r="P41" s="258"/>
      <x:c r="Q41" s="258"/>
      <x:c r="R41" s="258"/>
      <x:c r="S41" s="258"/>
      <x:c r="T41" s="258"/>
      <x:c r="U41" s="258"/>
      <x:c r="V41" s="258"/>
      <x:c r="W41" s="258"/>
      <x:c r="X41" s="258"/>
      <x:c r="Y41" s="258"/>
      <x:c r="Z41" s="258"/>
    </x:row>
    <x:row r="42">
      <x:c r="A42" s="258"/>
      <x:c r="B42" s="258"/>
      <x:c r="C42" s="258"/>
      <x:c r="D42" s="258"/>
      <x:c r="E42" s="258"/>
      <x:c r="F42" s="258"/>
      <x:c r="G42" s="258"/>
      <x:c r="H42" s="258"/>
      <x:c r="I42" s="258"/>
      <x:c r="J42" s="258"/>
      <x:c r="K42" s="258"/>
      <x:c r="L42" s="258"/>
      <x:c r="M42" s="258"/>
      <x:c r="N42" s="258"/>
      <x:c r="O42" s="258"/>
      <x:c r="P42" s="258"/>
      <x:c r="Q42" s="258"/>
      <x:c r="R42" s="258"/>
      <x:c r="S42" s="258"/>
      <x:c r="T42" s="258"/>
      <x:c r="U42" s="258"/>
      <x:c r="V42" s="258"/>
      <x:c r="W42" s="258"/>
      <x:c r="X42" s="258"/>
      <x:c r="Y42" s="258"/>
      <x:c r="Z42" s="258"/>
    </x:row>
    <x:row r="43">
      <x:c r="A43" s="258"/>
      <x:c r="B43" s="258"/>
      <x:c r="C43" s="258"/>
      <x:c r="D43" s="258"/>
      <x:c r="E43" s="258"/>
      <x:c r="F43" s="258"/>
      <x:c r="G43" s="258"/>
      <x:c r="H43" s="258"/>
      <x:c r="I43" s="258"/>
      <x:c r="J43" s="258"/>
      <x:c r="K43" s="258"/>
      <x:c r="L43" s="258"/>
      <x:c r="M43" s="258"/>
      <x:c r="N43" s="258"/>
      <x:c r="O43" s="258"/>
      <x:c r="P43" s="258"/>
      <x:c r="Q43" s="258"/>
      <x:c r="R43" s="258"/>
      <x:c r="S43" s="258"/>
      <x:c r="T43" s="258"/>
      <x:c r="U43" s="258"/>
      <x:c r="V43" s="258"/>
      <x:c r="W43" s="258"/>
      <x:c r="X43" s="258"/>
      <x:c r="Y43" s="258"/>
      <x:c r="Z43" s="258"/>
    </x:row>
    <x:row r="44">
      <x:c r="A44" s="258"/>
      <x:c r="B44" s="258"/>
      <x:c r="C44" s="258"/>
      <x:c r="D44" s="258"/>
      <x:c r="E44" s="258"/>
      <x:c r="F44" s="258"/>
      <x:c r="G44" s="258"/>
      <x:c r="H44" s="258"/>
      <x:c r="I44" s="258"/>
      <x:c r="J44" s="258"/>
      <x:c r="K44" s="258"/>
      <x:c r="L44" s="258"/>
      <x:c r="M44" s="258"/>
      <x:c r="N44" s="258"/>
      <x:c r="O44" s="258"/>
      <x:c r="P44" s="258"/>
      <x:c r="Q44" s="258"/>
      <x:c r="R44" s="258"/>
      <x:c r="S44" s="258"/>
      <x:c r="T44" s="258"/>
      <x:c r="U44" s="258"/>
      <x:c r="V44" s="258"/>
      <x:c r="W44" s="258"/>
      <x:c r="X44" s="258"/>
      <x:c r="Y44" s="258"/>
      <x:c r="Z44" s="258"/>
    </x:row>
    <x:row r="45">
      <x:c r="A45" s="258"/>
      <x:c r="B45" s="258"/>
      <x:c r="C45" s="258"/>
      <x:c r="D45" s="258"/>
      <x:c r="E45" s="258"/>
      <x:c r="F45" s="258"/>
      <x:c r="G45" s="258"/>
      <x:c r="H45" s="258"/>
      <x:c r="I45" s="258"/>
      <x:c r="J45" s="258"/>
      <x:c r="K45" s="258"/>
      <x:c r="L45" s="258"/>
      <x:c r="M45" s="258"/>
      <x:c r="N45" s="258"/>
      <x:c r="O45" s="258"/>
      <x:c r="P45" s="258"/>
      <x:c r="Q45" s="258"/>
      <x:c r="R45" s="258"/>
      <x:c r="S45" s="258"/>
      <x:c r="T45" s="258"/>
      <x:c r="U45" s="258"/>
      <x:c r="V45" s="258"/>
      <x:c r="W45" s="258"/>
      <x:c r="X45" s="258"/>
      <x:c r="Y45" s="258"/>
      <x:c r="Z45" s="258"/>
    </x:row>
    <x:row r="46">
      <x:c r="A46" s="258"/>
      <x:c r="B46" s="258"/>
      <x:c r="C46" s="258"/>
      <x:c r="D46" s="258"/>
      <x:c r="E46" s="258"/>
      <x:c r="F46" s="258"/>
      <x:c r="G46" s="258"/>
      <x:c r="H46" s="258"/>
      <x:c r="I46" s="258"/>
      <x:c r="J46" s="258"/>
      <x:c r="K46" s="258"/>
      <x:c r="L46" s="258"/>
      <x:c r="M46" s="258"/>
      <x:c r="N46" s="258"/>
      <x:c r="O46" s="258"/>
      <x:c r="P46" s="258"/>
      <x:c r="Q46" s="258"/>
      <x:c r="R46" s="258"/>
      <x:c r="S46" s="258"/>
      <x:c r="T46" s="258"/>
      <x:c r="U46" s="258"/>
      <x:c r="V46" s="258"/>
      <x:c r="W46" s="258"/>
      <x:c r="X46" s="258"/>
      <x:c r="Y46" s="258"/>
      <x:c r="Z46" s="258"/>
    </x:row>
    <x:row r="47">
      <x:c r="A47" s="258"/>
      <x:c r="B47" s="258"/>
      <x:c r="C47" s="258"/>
      <x:c r="D47" s="258"/>
      <x:c r="E47" s="258"/>
      <x:c r="F47" s="258"/>
      <x:c r="G47" s="258"/>
      <x:c r="H47" s="258"/>
      <x:c r="I47" s="258"/>
      <x:c r="J47" s="258"/>
      <x:c r="K47" s="258"/>
      <x:c r="L47" s="258"/>
      <x:c r="M47" s="258"/>
      <x:c r="N47" s="258"/>
      <x:c r="O47" s="258"/>
      <x:c r="P47" s="258"/>
      <x:c r="Q47" s="258"/>
      <x:c r="R47" s="258"/>
      <x:c r="S47" s="258"/>
      <x:c r="T47" s="258"/>
      <x:c r="U47" s="258"/>
      <x:c r="V47" s="258"/>
      <x:c r="W47" s="258"/>
      <x:c r="X47" s="258"/>
      <x:c r="Y47" s="258"/>
      <x:c r="Z47" s="258"/>
    </x:row>
    <x:row r="48">
      <x:c r="A48" s="258"/>
      <x:c r="B48" s="258"/>
      <x:c r="C48" s="258"/>
      <x:c r="D48" s="258"/>
      <x:c r="E48" s="258"/>
      <x:c r="F48" s="258"/>
      <x:c r="G48" s="258"/>
      <x:c r="H48" s="258"/>
      <x:c r="I48" s="258"/>
      <x:c r="J48" s="258"/>
      <x:c r="K48" s="258"/>
      <x:c r="L48" s="258"/>
      <x:c r="M48" s="258"/>
      <x:c r="N48" s="258"/>
      <x:c r="O48" s="258"/>
      <x:c r="P48" s="258"/>
      <x:c r="Q48" s="258"/>
      <x:c r="R48" s="258"/>
      <x:c r="S48" s="258"/>
      <x:c r="T48" s="258"/>
      <x:c r="U48" s="258"/>
      <x:c r="V48" s="258"/>
      <x:c r="W48" s="258"/>
      <x:c r="X48" s="258"/>
      <x:c r="Y48" s="258"/>
      <x:c r="Z48" s="258"/>
    </x:row>
    <x:row r="49">
      <x:c r="A49" s="258"/>
      <x:c r="B49" s="258"/>
      <x:c r="C49" s="258"/>
      <x:c r="D49" s="258"/>
      <x:c r="E49" s="258"/>
      <x:c r="F49" s="258"/>
      <x:c r="G49" s="258"/>
      <x:c r="H49" s="258"/>
      <x:c r="I49" s="258"/>
      <x:c r="J49" s="258"/>
      <x:c r="K49" s="258"/>
      <x:c r="L49" s="258"/>
      <x:c r="M49" s="258"/>
      <x:c r="N49" s="258"/>
      <x:c r="O49" s="258"/>
      <x:c r="P49" s="258"/>
      <x:c r="Q49" s="258"/>
      <x:c r="R49" s="258"/>
      <x:c r="S49" s="258"/>
      <x:c r="T49" s="258"/>
      <x:c r="U49" s="258"/>
      <x:c r="V49" s="258"/>
      <x:c r="W49" s="258"/>
      <x:c r="X49" s="258"/>
      <x:c r="Y49" s="258"/>
      <x:c r="Z49" s="258"/>
    </x:row>
    <x:row r="50">
      <x:c r="A50" s="258"/>
      <x:c r="B50" s="258"/>
      <x:c r="C50" s="258"/>
      <x:c r="D50" s="258"/>
      <x:c r="E50" s="258"/>
      <x:c r="F50" s="258"/>
      <x:c r="G50" s="258"/>
      <x:c r="H50" s="258"/>
      <x:c r="I50" s="258"/>
      <x:c r="J50" s="258"/>
      <x:c r="K50" s="258"/>
      <x:c r="L50" s="258"/>
      <x:c r="M50" s="258"/>
      <x:c r="N50" s="258"/>
      <x:c r="O50" s="258"/>
      <x:c r="P50" s="258"/>
      <x:c r="Q50" s="258"/>
      <x:c r="R50" s="258"/>
      <x:c r="S50" s="258"/>
      <x:c r="T50" s="258"/>
      <x:c r="U50" s="258"/>
      <x:c r="V50" s="258"/>
      <x:c r="W50" s="258"/>
      <x:c r="X50" s="258"/>
      <x:c r="Y50" s="258"/>
      <x:c r="Z50" s="258"/>
    </x:row>
    <x:row r="51">
      <x:c r="A51" s="258"/>
      <x:c r="B51" s="258"/>
      <x:c r="C51" s="258"/>
      <x:c r="D51" s="258"/>
      <x:c r="E51" s="258"/>
      <x:c r="F51" s="258"/>
      <x:c r="G51" s="258"/>
      <x:c r="H51" s="258"/>
      <x:c r="I51" s="258"/>
      <x:c r="J51" s="258"/>
      <x:c r="K51" s="258"/>
      <x:c r="L51" s="258"/>
      <x:c r="M51" s="258"/>
      <x:c r="N51" s="258"/>
      <x:c r="O51" s="258"/>
      <x:c r="P51" s="258"/>
      <x:c r="Q51" s="258"/>
      <x:c r="R51" s="258"/>
      <x:c r="S51" s="258"/>
      <x:c r="T51" s="258"/>
      <x:c r="U51" s="258"/>
      <x:c r="V51" s="258"/>
      <x:c r="W51" s="258"/>
      <x:c r="X51" s="258"/>
      <x:c r="Y51" s="258"/>
      <x:c r="Z51" s="258"/>
    </x:row>
    <x:row r="52">
      <x:c r="A52" s="258"/>
      <x:c r="B52" s="258"/>
      <x:c r="C52" s="258"/>
      <x:c r="D52" s="258"/>
      <x:c r="E52" s="258"/>
      <x:c r="F52" s="258"/>
      <x:c r="G52" s="258"/>
      <x:c r="H52" s="258"/>
      <x:c r="I52" s="258"/>
      <x:c r="J52" s="258"/>
      <x:c r="K52" s="258"/>
      <x:c r="L52" s="258"/>
      <x:c r="M52" s="258"/>
      <x:c r="N52" s="258"/>
      <x:c r="O52" s="258"/>
      <x:c r="P52" s="258"/>
      <x:c r="Q52" s="258"/>
      <x:c r="R52" s="258"/>
      <x:c r="S52" s="258"/>
      <x:c r="T52" s="258"/>
      <x:c r="U52" s="258"/>
      <x:c r="V52" s="258"/>
      <x:c r="W52" s="258"/>
      <x:c r="X52" s="258"/>
      <x:c r="Y52" s="258"/>
      <x:c r="Z52" s="258"/>
    </x:row>
    <x:row r="53">
      <x:c r="A53" s="258"/>
      <x:c r="B53" s="258"/>
      <x:c r="C53" s="258"/>
      <x:c r="D53" s="258"/>
      <x:c r="E53" s="258"/>
      <x:c r="F53" s="258"/>
      <x:c r="G53" s="258"/>
      <x:c r="H53" s="258"/>
      <x:c r="I53" s="258"/>
      <x:c r="J53" s="258"/>
      <x:c r="K53" s="258"/>
      <x:c r="L53" s="258"/>
      <x:c r="M53" s="258"/>
      <x:c r="N53" s="258"/>
      <x:c r="O53" s="258"/>
      <x:c r="P53" s="258"/>
      <x:c r="Q53" s="258"/>
      <x:c r="R53" s="258"/>
      <x:c r="S53" s="258"/>
      <x:c r="T53" s="258"/>
      <x:c r="U53" s="258"/>
      <x:c r="V53" s="258"/>
      <x:c r="W53" s="258"/>
      <x:c r="X53" s="258"/>
      <x:c r="Y53" s="258"/>
      <x:c r="Z53" s="258"/>
    </x:row>
    <x:row r="54">
      <x:c r="A54" s="258"/>
      <x:c r="B54" s="258"/>
      <x:c r="C54" s="258"/>
      <x:c r="D54" s="258"/>
      <x:c r="E54" s="258"/>
      <x:c r="F54" s="258"/>
      <x:c r="G54" s="258"/>
      <x:c r="H54" s="258"/>
      <x:c r="I54" s="258"/>
      <x:c r="J54" s="258"/>
      <x:c r="K54" s="258"/>
      <x:c r="L54" s="258"/>
      <x:c r="M54" s="258"/>
      <x:c r="N54" s="258"/>
      <x:c r="O54" s="258"/>
      <x:c r="P54" s="258"/>
      <x:c r="Q54" s="258"/>
      <x:c r="R54" s="258"/>
      <x:c r="S54" s="258"/>
      <x:c r="T54" s="258"/>
      <x:c r="U54" s="258"/>
      <x:c r="V54" s="258"/>
      <x:c r="W54" s="258"/>
      <x:c r="X54" s="258"/>
      <x:c r="Y54" s="258"/>
      <x:c r="Z54" s="258"/>
    </x:row>
    <x:row r="55">
      <x:c r="A55" s="258"/>
      <x:c r="B55" s="258"/>
      <x:c r="C55" s="258"/>
      <x:c r="D55" s="258"/>
      <x:c r="E55" s="258"/>
      <x:c r="F55" s="258"/>
      <x:c r="G55" s="258"/>
      <x:c r="H55" s="258"/>
      <x:c r="I55" s="258"/>
      <x:c r="J55" s="258"/>
      <x:c r="K55" s="258"/>
      <x:c r="L55" s="258"/>
      <x:c r="M55" s="258"/>
      <x:c r="N55" s="258"/>
      <x:c r="O55" s="258"/>
      <x:c r="P55" s="258"/>
      <x:c r="Q55" s="258"/>
      <x:c r="R55" s="258"/>
      <x:c r="S55" s="258"/>
      <x:c r="T55" s="258"/>
      <x:c r="U55" s="258"/>
      <x:c r="V55" s="258"/>
      <x:c r="W55" s="258"/>
      <x:c r="X55" s="258"/>
      <x:c r="Y55" s="258"/>
      <x:c r="Z55" s="258"/>
    </x:row>
    <x:row r="56">
      <x:c r="A56" s="258"/>
      <x:c r="B56" s="258"/>
      <x:c r="C56" s="258"/>
      <x:c r="D56" s="258"/>
      <x:c r="E56" s="258"/>
      <x:c r="F56" s="258"/>
      <x:c r="G56" s="258"/>
      <x:c r="H56" s="258"/>
      <x:c r="I56" s="258"/>
      <x:c r="J56" s="258"/>
      <x:c r="K56" s="258"/>
      <x:c r="L56" s="258"/>
      <x:c r="M56" s="258"/>
      <x:c r="N56" s="258"/>
      <x:c r="O56" s="258"/>
      <x:c r="P56" s="258"/>
      <x:c r="Q56" s="258"/>
      <x:c r="R56" s="258"/>
      <x:c r="S56" s="258"/>
      <x:c r="T56" s="258"/>
      <x:c r="U56" s="258"/>
      <x:c r="V56" s="258"/>
      <x:c r="W56" s="258"/>
      <x:c r="X56" s="258"/>
      <x:c r="Y56" s="258"/>
      <x:c r="Z56" s="258"/>
    </x:row>
    <x:row r="57">
      <x:c r="A57" s="258"/>
      <x:c r="B57" s="258"/>
      <x:c r="C57" s="258"/>
      <x:c r="D57" s="258"/>
      <x:c r="E57" s="258"/>
      <x:c r="F57" s="258"/>
      <x:c r="G57" s="258"/>
      <x:c r="H57" s="258"/>
      <x:c r="I57" s="258"/>
      <x:c r="J57" s="258"/>
      <x:c r="K57" s="258"/>
      <x:c r="L57" s="258"/>
      <x:c r="M57" s="258"/>
      <x:c r="N57" s="258"/>
      <x:c r="O57" s="258"/>
      <x:c r="P57" s="258"/>
      <x:c r="Q57" s="258"/>
      <x:c r="R57" s="258"/>
      <x:c r="S57" s="258"/>
      <x:c r="T57" s="258"/>
      <x:c r="U57" s="258"/>
      <x:c r="V57" s="258"/>
      <x:c r="W57" s="258"/>
      <x:c r="X57" s="258"/>
      <x:c r="Y57" s="258"/>
      <x:c r="Z57" s="258"/>
    </x:row>
    <x:row r="58">
      <x:c r="A58" s="258"/>
      <x:c r="B58" s="258"/>
      <x:c r="C58" s="258"/>
      <x:c r="D58" s="258"/>
      <x:c r="E58" s="258"/>
      <x:c r="F58" s="258"/>
      <x:c r="G58" s="258"/>
      <x:c r="H58" s="258"/>
      <x:c r="I58" s="258"/>
      <x:c r="J58" s="258"/>
      <x:c r="K58" s="258"/>
      <x:c r="L58" s="258"/>
      <x:c r="M58" s="258"/>
      <x:c r="N58" s="258"/>
      <x:c r="O58" s="258"/>
      <x:c r="P58" s="258"/>
      <x:c r="Q58" s="258"/>
      <x:c r="R58" s="258"/>
      <x:c r="S58" s="258"/>
      <x:c r="T58" s="258"/>
      <x:c r="U58" s="258"/>
      <x:c r="V58" s="258"/>
      <x:c r="W58" s="258"/>
      <x:c r="X58" s="258"/>
      <x:c r="Y58" s="258"/>
      <x:c r="Z58" s="258"/>
    </x:row>
    <x:row r="59">
      <x:c r="A59" s="258"/>
      <x:c r="B59" s="258"/>
      <x:c r="C59" s="258"/>
      <x:c r="D59" s="258"/>
      <x:c r="E59" s="258"/>
      <x:c r="F59" s="258"/>
      <x:c r="G59" s="258"/>
      <x:c r="H59" s="258"/>
      <x:c r="I59" s="258"/>
      <x:c r="J59" s="258"/>
      <x:c r="K59" s="258"/>
      <x:c r="L59" s="258"/>
      <x:c r="M59" s="258"/>
      <x:c r="N59" s="258"/>
      <x:c r="O59" s="258"/>
      <x:c r="P59" s="258"/>
      <x:c r="Q59" s="258"/>
      <x:c r="R59" s="258"/>
      <x:c r="S59" s="258"/>
      <x:c r="T59" s="258"/>
      <x:c r="U59" s="258"/>
      <x:c r="V59" s="258"/>
      <x:c r="W59" s="258"/>
      <x:c r="X59" s="258"/>
      <x:c r="Y59" s="258"/>
      <x:c r="Z59" s="258"/>
    </x:row>
    <x:row r="60">
      <x:c r="A60" s="258"/>
      <x:c r="B60" s="258"/>
      <x:c r="C60" s="258"/>
      <x:c r="D60" s="258"/>
      <x:c r="E60" s="258"/>
      <x:c r="F60" s="258"/>
      <x:c r="G60" s="258"/>
      <x:c r="H60" s="258"/>
      <x:c r="I60" s="258"/>
      <x:c r="J60" s="258"/>
      <x:c r="K60" s="258"/>
      <x:c r="L60" s="258"/>
      <x:c r="M60" s="258"/>
      <x:c r="N60" s="258"/>
      <x:c r="O60" s="258"/>
      <x:c r="P60" s="258"/>
      <x:c r="Q60" s="258"/>
      <x:c r="R60" s="258"/>
      <x:c r="S60" s="258"/>
      <x:c r="T60" s="258"/>
      <x:c r="U60" s="258"/>
      <x:c r="V60" s="258"/>
      <x:c r="W60" s="258"/>
      <x:c r="X60" s="258"/>
      <x:c r="Y60" s="258"/>
      <x:c r="Z60" s="258"/>
    </x:row>
    <x:row r="61">
      <x:c r="A61" s="258"/>
      <x:c r="B61" s="258"/>
      <x:c r="C61" s="258"/>
      <x:c r="D61" s="258"/>
      <x:c r="E61" s="258"/>
      <x:c r="F61" s="258"/>
      <x:c r="G61" s="258"/>
      <x:c r="H61" s="258"/>
      <x:c r="I61" s="258"/>
      <x:c r="J61" s="258"/>
      <x:c r="K61" s="258"/>
      <x:c r="L61" s="258"/>
      <x:c r="M61" s="258"/>
      <x:c r="N61" s="258"/>
      <x:c r="O61" s="258"/>
      <x:c r="P61" s="258"/>
      <x:c r="Q61" s="258"/>
      <x:c r="R61" s="258"/>
      <x:c r="S61" s="258"/>
      <x:c r="T61" s="258"/>
      <x:c r="U61" s="258"/>
      <x:c r="V61" s="258"/>
      <x:c r="W61" s="258"/>
      <x:c r="X61" s="258"/>
      <x:c r="Y61" s="258"/>
      <x:c r="Z61" s="258"/>
    </x:row>
    <x:row r="62">
      <x:c r="A62" s="258"/>
      <x:c r="B62" s="258"/>
      <x:c r="C62" s="258"/>
      <x:c r="D62" s="258"/>
      <x:c r="E62" s="258"/>
      <x:c r="F62" s="258"/>
      <x:c r="G62" s="258"/>
      <x:c r="H62" s="258"/>
      <x:c r="I62" s="258"/>
      <x:c r="J62" s="258"/>
      <x:c r="K62" s="258"/>
      <x:c r="L62" s="258"/>
      <x:c r="M62" s="258"/>
      <x:c r="N62" s="258"/>
      <x:c r="O62" s="258"/>
      <x:c r="P62" s="258"/>
      <x:c r="Q62" s="258"/>
      <x:c r="R62" s="258"/>
      <x:c r="S62" s="258"/>
      <x:c r="T62" s="258"/>
      <x:c r="U62" s="258"/>
      <x:c r="V62" s="258"/>
      <x:c r="W62" s="258"/>
      <x:c r="X62" s="258"/>
      <x:c r="Y62" s="258"/>
      <x:c r="Z62" s="258"/>
    </x:row>
    <x:row r="63">
      <x:c r="A63" s="258"/>
      <x:c r="B63" s="258"/>
      <x:c r="C63" s="258"/>
      <x:c r="D63" s="258"/>
      <x:c r="E63" s="258"/>
      <x:c r="F63" s="258"/>
      <x:c r="G63" s="258"/>
      <x:c r="H63" s="258"/>
      <x:c r="I63" s="258"/>
      <x:c r="J63" s="258"/>
      <x:c r="K63" s="258"/>
      <x:c r="L63" s="258"/>
      <x:c r="M63" s="258"/>
      <x:c r="N63" s="258"/>
      <x:c r="O63" s="258"/>
      <x:c r="P63" s="258"/>
      <x:c r="Q63" s="258"/>
      <x:c r="R63" s="258"/>
      <x:c r="S63" s="258"/>
      <x:c r="T63" s="258"/>
      <x:c r="U63" s="258"/>
      <x:c r="V63" s="258"/>
      <x:c r="W63" s="258"/>
      <x:c r="X63" s="258"/>
      <x:c r="Y63" s="258"/>
      <x:c r="Z63" s="258"/>
    </x:row>
    <x:row r="64">
      <x:c r="A64" s="258"/>
      <x:c r="B64" s="258"/>
      <x:c r="C64" s="258"/>
      <x:c r="D64" s="258"/>
      <x:c r="E64" s="258"/>
      <x:c r="F64" s="258"/>
      <x:c r="G64" s="258"/>
      <x:c r="H64" s="258"/>
      <x:c r="I64" s="258"/>
      <x:c r="J64" s="258"/>
      <x:c r="K64" s="258"/>
      <x:c r="L64" s="258"/>
      <x:c r="M64" s="258"/>
      <x:c r="N64" s="258"/>
      <x:c r="O64" s="258"/>
      <x:c r="P64" s="258"/>
      <x:c r="Q64" s="258"/>
      <x:c r="R64" s="258"/>
      <x:c r="S64" s="258"/>
      <x:c r="T64" s="258"/>
      <x:c r="U64" s="258"/>
      <x:c r="V64" s="258"/>
      <x:c r="W64" s="258"/>
      <x:c r="X64" s="258"/>
      <x:c r="Y64" s="258"/>
      <x:c r="Z64" s="258"/>
    </x:row>
    <x:row r="65">
      <x:c r="A65" s="258"/>
      <x:c r="B65" s="258"/>
      <x:c r="C65" s="258"/>
      <x:c r="D65" s="258"/>
      <x:c r="E65" s="258"/>
      <x:c r="F65" s="258"/>
      <x:c r="G65" s="258"/>
      <x:c r="H65" s="258"/>
      <x:c r="I65" s="258"/>
      <x:c r="J65" s="258"/>
      <x:c r="K65" s="258"/>
      <x:c r="L65" s="258"/>
      <x:c r="M65" s="258"/>
      <x:c r="N65" s="258"/>
      <x:c r="O65" s="258"/>
      <x:c r="P65" s="258"/>
      <x:c r="Q65" s="258"/>
      <x:c r="R65" s="258"/>
      <x:c r="S65" s="258"/>
      <x:c r="T65" s="258"/>
      <x:c r="U65" s="258"/>
      <x:c r="V65" s="258"/>
      <x:c r="W65" s="258"/>
      <x:c r="X65" s="258"/>
      <x:c r="Y65" s="258"/>
      <x:c r="Z65" s="258"/>
    </x:row>
    <x:row r="66">
      <x:c r="A66" s="258"/>
      <x:c r="B66" s="258"/>
      <x:c r="C66" s="258"/>
      <x:c r="D66" s="258"/>
      <x:c r="E66" s="258"/>
      <x:c r="F66" s="258"/>
      <x:c r="G66" s="258"/>
      <x:c r="H66" s="258"/>
      <x:c r="I66" s="258"/>
      <x:c r="J66" s="258"/>
      <x:c r="K66" s="258"/>
      <x:c r="L66" s="258"/>
      <x:c r="M66" s="258"/>
      <x:c r="N66" s="258"/>
      <x:c r="O66" s="258"/>
      <x:c r="P66" s="258"/>
      <x:c r="Q66" s="258"/>
      <x:c r="R66" s="258"/>
      <x:c r="S66" s="258"/>
      <x:c r="T66" s="258"/>
      <x:c r="U66" s="258"/>
      <x:c r="V66" s="258"/>
      <x:c r="W66" s="258"/>
      <x:c r="X66" s="258"/>
      <x:c r="Y66" s="258"/>
      <x:c r="Z66" s="258"/>
    </x:row>
    <x:row r="67">
      <x:c r="A67" s="258"/>
      <x:c r="B67" s="258"/>
      <x:c r="C67" s="258"/>
      <x:c r="D67" s="258"/>
      <x:c r="E67" s="258"/>
      <x:c r="F67" s="258"/>
      <x:c r="G67" s="258"/>
      <x:c r="H67" s="258"/>
      <x:c r="I67" s="258"/>
      <x:c r="J67" s="258"/>
      <x:c r="K67" s="258"/>
      <x:c r="L67" s="258"/>
      <x:c r="M67" s="258"/>
      <x:c r="N67" s="258"/>
      <x:c r="O67" s="258"/>
      <x:c r="P67" s="258"/>
      <x:c r="Q67" s="258"/>
      <x:c r="R67" s="258"/>
      <x:c r="S67" s="258"/>
      <x:c r="T67" s="258"/>
      <x:c r="U67" s="258"/>
      <x:c r="V67" s="258"/>
      <x:c r="W67" s="258"/>
      <x:c r="X67" s="258"/>
      <x:c r="Y67" s="258"/>
      <x:c r="Z67" s="258"/>
    </x:row>
    <x:row r="68">
      <x:c r="A68" s="258"/>
      <x:c r="B68" s="258"/>
      <x:c r="C68" s="258"/>
      <x:c r="D68" s="258"/>
      <x:c r="E68" s="258"/>
      <x:c r="F68" s="258"/>
      <x:c r="G68" s="258"/>
      <x:c r="H68" s="258"/>
      <x:c r="I68" s="258"/>
      <x:c r="J68" s="258"/>
      <x:c r="K68" s="258"/>
      <x:c r="L68" s="258"/>
      <x:c r="M68" s="258"/>
      <x:c r="N68" s="258"/>
      <x:c r="O68" s="258"/>
      <x:c r="P68" s="258"/>
      <x:c r="Q68" s="258"/>
      <x:c r="R68" s="258"/>
      <x:c r="S68" s="258"/>
      <x:c r="T68" s="258"/>
      <x:c r="U68" s="258"/>
      <x:c r="V68" s="258"/>
      <x:c r="W68" s="258"/>
      <x:c r="X68" s="258"/>
      <x:c r="Y68" s="258"/>
      <x:c r="Z68" s="258"/>
    </x:row>
    <x:row r="69">
      <x:c r="A69" s="258"/>
      <x:c r="B69" s="258"/>
      <x:c r="C69" s="258"/>
      <x:c r="D69" s="258"/>
      <x:c r="E69" s="258"/>
      <x:c r="F69" s="258"/>
      <x:c r="G69" s="258"/>
      <x:c r="H69" s="258"/>
      <x:c r="I69" s="258"/>
      <x:c r="J69" s="258"/>
      <x:c r="K69" s="258"/>
      <x:c r="L69" s="258"/>
      <x:c r="M69" s="258"/>
      <x:c r="N69" s="258"/>
      <x:c r="O69" s="258"/>
      <x:c r="P69" s="258"/>
      <x:c r="Q69" s="258"/>
      <x:c r="R69" s="258"/>
      <x:c r="S69" s="258"/>
      <x:c r="T69" s="258"/>
      <x:c r="U69" s="258"/>
      <x:c r="V69" s="258"/>
      <x:c r="W69" s="258"/>
      <x:c r="X69" s="258"/>
      <x:c r="Y69" s="258"/>
      <x:c r="Z69" s="258"/>
    </x:row>
    <x:row r="70">
      <x:c r="A70" s="258"/>
      <x:c r="B70" s="258"/>
      <x:c r="C70" s="258"/>
      <x:c r="D70" s="258"/>
      <x:c r="E70" s="258"/>
      <x:c r="F70" s="258"/>
      <x:c r="G70" s="258"/>
      <x:c r="H70" s="258"/>
      <x:c r="I70" s="258"/>
      <x:c r="J70" s="258"/>
      <x:c r="K70" s="258"/>
      <x:c r="L70" s="258"/>
      <x:c r="M70" s="258"/>
      <x:c r="N70" s="258"/>
      <x:c r="O70" s="258"/>
      <x:c r="P70" s="258"/>
      <x:c r="Q70" s="258"/>
      <x:c r="R70" s="258"/>
      <x:c r="S70" s="258"/>
      <x:c r="T70" s="258"/>
      <x:c r="U70" s="258"/>
      <x:c r="V70" s="258"/>
      <x:c r="W70" s="258"/>
      <x:c r="X70" s="258"/>
      <x:c r="Y70" s="258"/>
      <x:c r="Z70" s="258"/>
    </x:row>
    <x:row r="71">
      <x:c r="A71" s="258"/>
      <x:c r="B71" s="258"/>
      <x:c r="C71" s="258"/>
      <x:c r="D71" s="258"/>
      <x:c r="E71" s="258"/>
      <x:c r="F71" s="258"/>
      <x:c r="G71" s="258"/>
      <x:c r="H71" s="258"/>
      <x:c r="I71" s="258"/>
      <x:c r="J71" s="258"/>
      <x:c r="K71" s="258"/>
      <x:c r="L71" s="258"/>
      <x:c r="M71" s="258"/>
      <x:c r="N71" s="258"/>
      <x:c r="O71" s="258"/>
      <x:c r="P71" s="258"/>
      <x:c r="Q71" s="258"/>
      <x:c r="R71" s="258"/>
      <x:c r="S71" s="258"/>
      <x:c r="T71" s="258"/>
      <x:c r="U71" s="258"/>
      <x:c r="V71" s="258"/>
      <x:c r="W71" s="258"/>
      <x:c r="X71" s="258"/>
      <x:c r="Y71" s="258"/>
      <x:c r="Z71" s="258"/>
    </x:row>
    <x:row r="72">
      <x:c r="A72" s="258"/>
      <x:c r="B72" s="258"/>
      <x:c r="C72" s="258"/>
      <x:c r="D72" s="258"/>
      <x:c r="E72" s="258"/>
      <x:c r="F72" s="258"/>
      <x:c r="G72" s="258"/>
      <x:c r="H72" s="258"/>
      <x:c r="I72" s="258"/>
      <x:c r="J72" s="258"/>
      <x:c r="K72" s="258"/>
      <x:c r="L72" s="258"/>
      <x:c r="M72" s="258"/>
      <x:c r="N72" s="258"/>
      <x:c r="O72" s="258"/>
      <x:c r="P72" s="258"/>
      <x:c r="Q72" s="258"/>
      <x:c r="R72" s="258"/>
      <x:c r="S72" s="258"/>
      <x:c r="T72" s="258"/>
      <x:c r="U72" s="258"/>
      <x:c r="V72" s="258"/>
      <x:c r="W72" s="258"/>
      <x:c r="X72" s="258"/>
      <x:c r="Y72" s="258"/>
      <x:c r="Z72" s="258"/>
    </x:row>
    <x:row r="73">
      <x:c r="A73" s="258"/>
      <x:c r="B73" s="258"/>
      <x:c r="C73" s="258"/>
      <x:c r="D73" s="258"/>
      <x:c r="E73" s="258"/>
      <x:c r="F73" s="258"/>
      <x:c r="G73" s="258"/>
      <x:c r="H73" s="258"/>
      <x:c r="I73" s="258"/>
      <x:c r="J73" s="258"/>
      <x:c r="K73" s="258"/>
      <x:c r="L73" s="258"/>
      <x:c r="M73" s="258"/>
      <x:c r="N73" s="258"/>
      <x:c r="O73" s="258"/>
      <x:c r="P73" s="258"/>
      <x:c r="Q73" s="258"/>
      <x:c r="R73" s="258"/>
      <x:c r="S73" s="258"/>
      <x:c r="T73" s="258"/>
      <x:c r="U73" s="258"/>
      <x:c r="V73" s="258"/>
      <x:c r="W73" s="258"/>
      <x:c r="X73" s="258"/>
      <x:c r="Y73" s="258"/>
      <x:c r="Z73" s="258"/>
    </x:row>
    <x:row r="74">
      <x:c r="A74" s="258"/>
      <x:c r="B74" s="258"/>
      <x:c r="C74" s="258"/>
      <x:c r="D74" s="258"/>
      <x:c r="E74" s="258"/>
      <x:c r="F74" s="258"/>
      <x:c r="G74" s="258"/>
      <x:c r="H74" s="258"/>
      <x:c r="I74" s="258"/>
      <x:c r="J74" s="258"/>
      <x:c r="K74" s="258"/>
      <x:c r="L74" s="258"/>
      <x:c r="M74" s="258"/>
      <x:c r="N74" s="258"/>
      <x:c r="O74" s="258"/>
      <x:c r="P74" s="258"/>
      <x:c r="Q74" s="258"/>
      <x:c r="R74" s="258"/>
      <x:c r="S74" s="258"/>
      <x:c r="T74" s="258"/>
      <x:c r="U74" s="258"/>
      <x:c r="V74" s="258"/>
      <x:c r="W74" s="258"/>
      <x:c r="X74" s="258"/>
      <x:c r="Y74" s="258"/>
      <x:c r="Z74" s="258"/>
    </x:row>
    <x:row r="75">
      <x:c r="A75" s="258"/>
      <x:c r="B75" s="258"/>
      <x:c r="C75" s="258"/>
      <x:c r="D75" s="258"/>
      <x:c r="E75" s="258"/>
      <x:c r="F75" s="258"/>
      <x:c r="G75" s="258"/>
      <x:c r="H75" s="258"/>
      <x:c r="I75" s="258"/>
      <x:c r="J75" s="258"/>
      <x:c r="K75" s="258"/>
      <x:c r="L75" s="258"/>
      <x:c r="M75" s="258"/>
      <x:c r="N75" s="258"/>
      <x:c r="O75" s="258"/>
      <x:c r="P75" s="258"/>
      <x:c r="Q75" s="258"/>
      <x:c r="R75" s="258"/>
      <x:c r="S75" s="258"/>
      <x:c r="T75" s="258"/>
      <x:c r="U75" s="258"/>
      <x:c r="V75" s="258"/>
      <x:c r="W75" s="258"/>
      <x:c r="X75" s="258"/>
      <x:c r="Y75" s="258"/>
      <x:c r="Z75" s="258"/>
    </x:row>
    <x:row r="76">
      <x:c r="A76" s="258"/>
      <x:c r="B76" s="258"/>
      <x:c r="C76" s="258"/>
      <x:c r="D76" s="258"/>
      <x:c r="E76" s="258"/>
      <x:c r="F76" s="258"/>
      <x:c r="G76" s="258"/>
      <x:c r="H76" s="258"/>
      <x:c r="I76" s="258"/>
      <x:c r="J76" s="258"/>
      <x:c r="K76" s="258"/>
      <x:c r="L76" s="258"/>
      <x:c r="M76" s="258"/>
      <x:c r="N76" s="258"/>
      <x:c r="O76" s="258"/>
      <x:c r="P76" s="258"/>
      <x:c r="Q76" s="258"/>
      <x:c r="R76" s="258"/>
      <x:c r="S76" s="258"/>
      <x:c r="T76" s="258"/>
      <x:c r="U76" s="258"/>
      <x:c r="V76" s="258"/>
      <x:c r="W76" s="258"/>
      <x:c r="X76" s="258"/>
      <x:c r="Y76" s="258"/>
      <x:c r="Z76" s="258"/>
    </x:row>
    <x:row r="77">
      <x:c r="A77" s="258"/>
      <x:c r="B77" s="258"/>
      <x:c r="C77" s="258"/>
      <x:c r="D77" s="258"/>
      <x:c r="E77" s="258"/>
      <x:c r="F77" s="258"/>
      <x:c r="G77" s="258"/>
      <x:c r="H77" s="258"/>
      <x:c r="I77" s="258"/>
      <x:c r="J77" s="258"/>
      <x:c r="K77" s="258"/>
      <x:c r="L77" s="258"/>
      <x:c r="M77" s="258"/>
      <x:c r="N77" s="258"/>
      <x:c r="O77" s="258"/>
      <x:c r="P77" s="258"/>
      <x:c r="Q77" s="258"/>
      <x:c r="R77" s="258"/>
      <x:c r="S77" s="258"/>
      <x:c r="T77" s="258"/>
      <x:c r="U77" s="258"/>
      <x:c r="V77" s="258"/>
      <x:c r="W77" s="258"/>
      <x:c r="X77" s="258"/>
      <x:c r="Y77" s="258"/>
      <x:c r="Z77" s="258"/>
    </x:row>
    <x:row r="78">
      <x:c r="A78" s="258"/>
      <x:c r="B78" s="258"/>
      <x:c r="C78" s="258"/>
      <x:c r="D78" s="258"/>
      <x:c r="E78" s="258"/>
      <x:c r="F78" s="258"/>
      <x:c r="G78" s="258"/>
      <x:c r="H78" s="258"/>
      <x:c r="I78" s="258"/>
      <x:c r="J78" s="258"/>
      <x:c r="K78" s="258"/>
      <x:c r="L78" s="258"/>
      <x:c r="M78" s="258"/>
      <x:c r="N78" s="258"/>
      <x:c r="O78" s="258"/>
      <x:c r="P78" s="258"/>
      <x:c r="Q78" s="258"/>
      <x:c r="R78" s="258"/>
      <x:c r="S78" s="258"/>
      <x:c r="T78" s="258"/>
      <x:c r="U78" s="258"/>
      <x:c r="V78" s="258"/>
      <x:c r="W78" s="258"/>
      <x:c r="X78" s="258"/>
      <x:c r="Y78" s="258"/>
      <x:c r="Z78" s="258"/>
    </x:row>
    <x:row r="79">
      <x:c r="A79" s="258"/>
      <x:c r="B79" s="258"/>
      <x:c r="C79" s="258"/>
      <x:c r="D79" s="258"/>
      <x:c r="E79" s="258"/>
      <x:c r="F79" s="258"/>
      <x:c r="G79" s="258"/>
      <x:c r="H79" s="258"/>
      <x:c r="I79" s="258"/>
      <x:c r="J79" s="258"/>
      <x:c r="K79" s="258"/>
      <x:c r="L79" s="258"/>
      <x:c r="M79" s="258"/>
      <x:c r="N79" s="258"/>
      <x:c r="O79" s="258"/>
      <x:c r="P79" s="258"/>
      <x:c r="Q79" s="258"/>
      <x:c r="R79" s="258"/>
      <x:c r="S79" s="258"/>
      <x:c r="T79" s="258"/>
      <x:c r="U79" s="258"/>
      <x:c r="V79" s="258"/>
      <x:c r="W79" s="258"/>
      <x:c r="X79" s="258"/>
      <x:c r="Y79" s="258"/>
      <x:c r="Z79" s="258"/>
    </x:row>
    <x:row r="80">
      <x:c r="A80" s="258"/>
      <x:c r="B80" s="258"/>
      <x:c r="C80" s="258"/>
      <x:c r="D80" s="258"/>
      <x:c r="E80" s="258"/>
      <x:c r="F80" s="258"/>
      <x:c r="G80" s="258"/>
      <x:c r="H80" s="258"/>
      <x:c r="I80" s="258"/>
      <x:c r="J80" s="258"/>
      <x:c r="K80" s="258"/>
      <x:c r="L80" s="258"/>
      <x:c r="M80" s="258"/>
      <x:c r="N80" s="258"/>
      <x:c r="O80" s="258"/>
      <x:c r="P80" s="258"/>
      <x:c r="Q80" s="258"/>
      <x:c r="R80" s="258"/>
      <x:c r="S80" s="258"/>
      <x:c r="T80" s="258"/>
      <x:c r="U80" s="258"/>
      <x:c r="V80" s="258"/>
      <x:c r="W80" s="258"/>
      <x:c r="X80" s="258"/>
      <x:c r="Y80" s="258"/>
      <x:c r="Z80" s="258"/>
    </x:row>
    <x:row r="81">
      <x:c r="A81" s="258"/>
      <x:c r="B81" s="258"/>
      <x:c r="C81" s="258"/>
      <x:c r="D81" s="258"/>
      <x:c r="E81" s="258"/>
      <x:c r="F81" s="258"/>
      <x:c r="G81" s="258"/>
      <x:c r="H81" s="258"/>
      <x:c r="I81" s="258"/>
      <x:c r="J81" s="258"/>
      <x:c r="K81" s="258"/>
      <x:c r="L81" s="258"/>
      <x:c r="M81" s="258"/>
      <x:c r="N81" s="258"/>
      <x:c r="O81" s="258"/>
      <x:c r="P81" s="258"/>
      <x:c r="Q81" s="258"/>
      <x:c r="R81" s="258"/>
      <x:c r="S81" s="258"/>
      <x:c r="T81" s="258"/>
      <x:c r="U81" s="258"/>
      <x:c r="V81" s="258"/>
      <x:c r="W81" s="258"/>
      <x:c r="X81" s="258"/>
      <x:c r="Y81" s="258"/>
      <x:c r="Z81" s="258"/>
    </x:row>
    <x:row r="82">
      <x:c r="A82" s="258"/>
      <x:c r="B82" s="258"/>
      <x:c r="C82" s="258"/>
      <x:c r="D82" s="258"/>
      <x:c r="E82" s="258"/>
      <x:c r="F82" s="258"/>
      <x:c r="G82" s="258"/>
      <x:c r="H82" s="258"/>
      <x:c r="I82" s="258"/>
      <x:c r="J82" s="258"/>
      <x:c r="K82" s="258"/>
      <x:c r="L82" s="258"/>
      <x:c r="M82" s="258"/>
      <x:c r="N82" s="258"/>
      <x:c r="O82" s="258"/>
      <x:c r="P82" s="258"/>
      <x:c r="Q82" s="258"/>
      <x:c r="R82" s="258"/>
      <x:c r="S82" s="258"/>
      <x:c r="T82" s="258"/>
      <x:c r="U82" s="258"/>
      <x:c r="V82" s="258"/>
      <x:c r="W82" s="258"/>
      <x:c r="X82" s="258"/>
      <x:c r="Y82" s="258"/>
      <x:c r="Z82" s="258"/>
    </x:row>
    <x:row r="83">
      <x:c r="A83" s="258"/>
      <x:c r="B83" s="258"/>
      <x:c r="C83" s="258"/>
      <x:c r="D83" s="258"/>
      <x:c r="E83" s="258"/>
      <x:c r="F83" s="258"/>
      <x:c r="G83" s="258"/>
      <x:c r="H83" s="258"/>
      <x:c r="I83" s="258"/>
      <x:c r="J83" s="258"/>
      <x:c r="K83" s="258"/>
      <x:c r="L83" s="258"/>
      <x:c r="M83" s="258"/>
      <x:c r="N83" s="258"/>
      <x:c r="O83" s="258"/>
      <x:c r="P83" s="258"/>
      <x:c r="Q83" s="258"/>
      <x:c r="R83" s="258"/>
      <x:c r="S83" s="258"/>
      <x:c r="T83" s="258"/>
      <x:c r="U83" s="258"/>
      <x:c r="V83" s="258"/>
      <x:c r="W83" s="258"/>
      <x:c r="X83" s="258"/>
      <x:c r="Y83" s="258"/>
      <x:c r="Z83" s="258"/>
    </x:row>
    <x:row r="84">
      <x:c r="A84" s="258"/>
      <x:c r="B84" s="258"/>
      <x:c r="C84" s="258"/>
      <x:c r="D84" s="258"/>
      <x:c r="E84" s="258"/>
      <x:c r="F84" s="258"/>
      <x:c r="G84" s="258"/>
      <x:c r="H84" s="258"/>
      <x:c r="I84" s="258"/>
      <x:c r="J84" s="258"/>
      <x:c r="K84" s="258"/>
      <x:c r="L84" s="258"/>
      <x:c r="M84" s="258"/>
      <x:c r="N84" s="258"/>
      <x:c r="O84" s="258"/>
      <x:c r="P84" s="258"/>
      <x:c r="Q84" s="258"/>
      <x:c r="R84" s="258"/>
      <x:c r="S84" s="258"/>
      <x:c r="T84" s="258"/>
      <x:c r="U84" s="258"/>
      <x:c r="V84" s="258"/>
      <x:c r="W84" s="258"/>
      <x:c r="X84" s="258"/>
      <x:c r="Y84" s="258"/>
      <x:c r="Z84" s="258"/>
    </x:row>
    <x:row r="85">
      <x:c r="A85" s="258"/>
      <x:c r="B85" s="258"/>
      <x:c r="C85" s="258"/>
      <x:c r="D85" s="258"/>
      <x:c r="E85" s="258"/>
      <x:c r="F85" s="258"/>
      <x:c r="G85" s="258"/>
      <x:c r="H85" s="258"/>
      <x:c r="I85" s="258"/>
      <x:c r="J85" s="258"/>
      <x:c r="K85" s="258"/>
      <x:c r="L85" s="258"/>
      <x:c r="M85" s="258"/>
      <x:c r="N85" s="258"/>
      <x:c r="O85" s="258"/>
      <x:c r="P85" s="258"/>
      <x:c r="Q85" s="258"/>
      <x:c r="R85" s="258"/>
      <x:c r="S85" s="258"/>
      <x:c r="T85" s="258"/>
      <x:c r="U85" s="258"/>
      <x:c r="V85" s="258"/>
      <x:c r="W85" s="258"/>
      <x:c r="X85" s="258"/>
      <x:c r="Y85" s="258"/>
      <x:c r="Z85" s="258"/>
    </x:row>
    <x:row r="86">
      <x:c r="A86" s="258"/>
      <x:c r="B86" s="258"/>
      <x:c r="C86" s="258"/>
      <x:c r="D86" s="258"/>
      <x:c r="E86" s="258"/>
      <x:c r="F86" s="258"/>
      <x:c r="G86" s="258"/>
      <x:c r="H86" s="258"/>
      <x:c r="I86" s="258"/>
      <x:c r="J86" s="258"/>
      <x:c r="K86" s="258"/>
      <x:c r="L86" s="258"/>
      <x:c r="M86" s="258"/>
      <x:c r="N86" s="258"/>
      <x:c r="O86" s="258"/>
      <x:c r="P86" s="258"/>
      <x:c r="Q86" s="258"/>
      <x:c r="R86" s="258"/>
      <x:c r="S86" s="258"/>
      <x:c r="T86" s="258"/>
      <x:c r="U86" s="258"/>
      <x:c r="V86" s="258"/>
      <x:c r="W86" s="258"/>
      <x:c r="X86" s="258"/>
      <x:c r="Y86" s="258"/>
      <x:c r="Z86" s="258"/>
    </x:row>
    <x:row r="87">
      <x:c r="A87" s="258"/>
      <x:c r="B87" s="258"/>
      <x:c r="C87" s="258"/>
      <x:c r="D87" s="258"/>
      <x:c r="E87" s="258"/>
      <x:c r="F87" s="258"/>
      <x:c r="G87" s="258"/>
      <x:c r="H87" s="258"/>
      <x:c r="I87" s="258"/>
      <x:c r="J87" s="258"/>
      <x:c r="K87" s="258"/>
      <x:c r="L87" s="258"/>
      <x:c r="M87" s="258"/>
      <x:c r="N87" s="258"/>
      <x:c r="O87" s="258"/>
      <x:c r="P87" s="258"/>
      <x:c r="Q87" s="258"/>
      <x:c r="R87" s="258"/>
      <x:c r="S87" s="258"/>
      <x:c r="T87" s="258"/>
      <x:c r="U87" s="258"/>
      <x:c r="V87" s="258"/>
      <x:c r="W87" s="258"/>
      <x:c r="X87" s="258"/>
      <x:c r="Y87" s="258"/>
      <x:c r="Z87" s="258"/>
    </x:row>
    <x:row r="88">
      <x:c r="A88" s="258"/>
      <x:c r="B88" s="258"/>
      <x:c r="C88" s="258"/>
      <x:c r="D88" s="258"/>
      <x:c r="E88" s="258"/>
      <x:c r="F88" s="258"/>
      <x:c r="G88" s="258"/>
      <x:c r="H88" s="258"/>
      <x:c r="I88" s="258"/>
      <x:c r="J88" s="258"/>
      <x:c r="K88" s="258"/>
      <x:c r="L88" s="258"/>
      <x:c r="M88" s="258"/>
      <x:c r="N88" s="258"/>
      <x:c r="O88" s="258"/>
      <x:c r="P88" s="258"/>
      <x:c r="Q88" s="258"/>
      <x:c r="R88" s="258"/>
      <x:c r="S88" s="258"/>
      <x:c r="T88" s="258"/>
      <x:c r="U88" s="258"/>
      <x:c r="V88" s="258"/>
      <x:c r="W88" s="258"/>
      <x:c r="X88" s="258"/>
      <x:c r="Y88" s="258"/>
      <x:c r="Z88" s="258"/>
    </x:row>
    <x:row r="89">
      <x:c r="A89" s="258"/>
      <x:c r="B89" s="258"/>
      <x:c r="C89" s="258"/>
      <x:c r="D89" s="258"/>
      <x:c r="E89" s="258"/>
      <x:c r="F89" s="258"/>
      <x:c r="G89" s="258"/>
      <x:c r="H89" s="258"/>
      <x:c r="I89" s="258"/>
      <x:c r="J89" s="258"/>
      <x:c r="K89" s="258"/>
      <x:c r="L89" s="258"/>
      <x:c r="M89" s="258"/>
      <x:c r="N89" s="258"/>
      <x:c r="O89" s="258"/>
      <x:c r="P89" s="258"/>
      <x:c r="Q89" s="258"/>
      <x:c r="R89" s="258"/>
      <x:c r="S89" s="258"/>
      <x:c r="T89" s="258"/>
      <x:c r="U89" s="258"/>
      <x:c r="V89" s="258"/>
      <x:c r="W89" s="258"/>
      <x:c r="X89" s="258"/>
      <x:c r="Y89" s="258"/>
      <x:c r="Z89" s="258"/>
    </x:row>
    <x:row r="90">
      <x:c r="A90" s="258"/>
      <x:c r="B90" s="258"/>
      <x:c r="C90" s="258"/>
      <x:c r="D90" s="258"/>
      <x:c r="E90" s="258"/>
      <x:c r="F90" s="258"/>
      <x:c r="G90" s="258"/>
      <x:c r="H90" s="258"/>
      <x:c r="I90" s="258"/>
      <x:c r="J90" s="258"/>
      <x:c r="K90" s="258"/>
      <x:c r="L90" s="258"/>
      <x:c r="M90" s="258"/>
      <x:c r="N90" s="258"/>
      <x:c r="O90" s="258"/>
      <x:c r="P90" s="258"/>
      <x:c r="Q90" s="258"/>
      <x:c r="R90" s="258"/>
      <x:c r="S90" s="258"/>
      <x:c r="T90" s="258"/>
      <x:c r="U90" s="258"/>
      <x:c r="V90" s="258"/>
      <x:c r="W90" s="258"/>
      <x:c r="X90" s="258"/>
      <x:c r="Y90" s="258"/>
      <x:c r="Z90" s="258"/>
    </x:row>
    <x:row r="91">
      <x:c r="A91" s="258"/>
      <x:c r="B91" s="258"/>
      <x:c r="C91" s="258"/>
      <x:c r="D91" s="258"/>
      <x:c r="E91" s="258"/>
      <x:c r="F91" s="258"/>
      <x:c r="G91" s="258"/>
      <x:c r="H91" s="258"/>
      <x:c r="I91" s="258"/>
      <x:c r="J91" s="258"/>
      <x:c r="K91" s="258"/>
      <x:c r="L91" s="258"/>
      <x:c r="M91" s="258"/>
      <x:c r="N91" s="258"/>
      <x:c r="O91" s="258"/>
      <x:c r="P91" s="258"/>
      <x:c r="Q91" s="258"/>
      <x:c r="R91" s="258"/>
      <x:c r="S91" s="258"/>
      <x:c r="T91" s="258"/>
      <x:c r="U91" s="258"/>
      <x:c r="V91" s="258"/>
      <x:c r="W91" s="258"/>
      <x:c r="X91" s="258"/>
      <x:c r="Y91" s="258"/>
      <x:c r="Z91" s="258"/>
    </x:row>
    <x:row r="92">
      <x:c r="A92" s="258"/>
      <x:c r="B92" s="258"/>
      <x:c r="C92" s="258"/>
      <x:c r="D92" s="258"/>
      <x:c r="E92" s="258"/>
      <x:c r="F92" s="258"/>
      <x:c r="G92" s="258"/>
      <x:c r="H92" s="258"/>
      <x:c r="I92" s="258"/>
      <x:c r="J92" s="258"/>
      <x:c r="K92" s="258"/>
      <x:c r="L92" s="258"/>
      <x:c r="M92" s="258"/>
      <x:c r="N92" s="258"/>
      <x:c r="O92" s="258"/>
      <x:c r="P92" s="258"/>
      <x:c r="Q92" s="258"/>
      <x:c r="R92" s="258"/>
      <x:c r="S92" s="258"/>
      <x:c r="T92" s="258"/>
      <x:c r="U92" s="258"/>
      <x:c r="V92" s="258"/>
      <x:c r="W92" s="258"/>
      <x:c r="X92" s="258"/>
      <x:c r="Y92" s="258"/>
      <x:c r="Z92" s="258"/>
    </x:row>
    <x:row r="93">
      <x:c r="A93" s="258"/>
      <x:c r="B93" s="258"/>
      <x:c r="C93" s="258"/>
      <x:c r="D93" s="258"/>
      <x:c r="E93" s="258"/>
      <x:c r="F93" s="258"/>
      <x:c r="G93" s="258"/>
      <x:c r="H93" s="258"/>
      <x:c r="I93" s="258"/>
      <x:c r="J93" s="258"/>
      <x:c r="K93" s="258"/>
      <x:c r="L93" s="258"/>
      <x:c r="M93" s="258"/>
      <x:c r="N93" s="258"/>
      <x:c r="O93" s="258"/>
      <x:c r="P93" s="258"/>
      <x:c r="Q93" s="258"/>
      <x:c r="R93" s="258"/>
      <x:c r="S93" s="258"/>
      <x:c r="T93" s="258"/>
      <x:c r="U93" s="258"/>
      <x:c r="V93" s="258"/>
      <x:c r="W93" s="258"/>
      <x:c r="X93" s="258"/>
      <x:c r="Y93" s="258"/>
      <x:c r="Z93" s="258"/>
    </x:row>
    <x:row r="94">
      <x:c r="A94" s="258"/>
      <x:c r="B94" s="258"/>
      <x:c r="C94" s="258"/>
      <x:c r="D94" s="258"/>
      <x:c r="E94" s="258"/>
      <x:c r="F94" s="258"/>
      <x:c r="G94" s="258"/>
      <x:c r="H94" s="258"/>
      <x:c r="I94" s="258"/>
      <x:c r="J94" s="258"/>
      <x:c r="K94" s="258"/>
      <x:c r="L94" s="258"/>
      <x:c r="M94" s="258"/>
      <x:c r="N94" s="258"/>
      <x:c r="O94" s="258"/>
      <x:c r="P94" s="258"/>
      <x:c r="Q94" s="258"/>
      <x:c r="R94" s="258"/>
      <x:c r="S94" s="258"/>
      <x:c r="T94" s="258"/>
      <x:c r="U94" s="258"/>
      <x:c r="V94" s="258"/>
      <x:c r="W94" s="258"/>
      <x:c r="X94" s="258"/>
      <x:c r="Y94" s="258"/>
      <x:c r="Z94" s="258"/>
    </x:row>
    <x:row r="95">
      <x:c r="A95" s="258"/>
      <x:c r="B95" s="258"/>
      <x:c r="C95" s="258"/>
      <x:c r="D95" s="258"/>
      <x:c r="E95" s="258"/>
      <x:c r="F95" s="258"/>
      <x:c r="G95" s="258"/>
      <x:c r="H95" s="258"/>
      <x:c r="I95" s="258"/>
      <x:c r="J95" s="258"/>
      <x:c r="K95" s="258"/>
      <x:c r="L95" s="258"/>
      <x:c r="M95" s="258"/>
      <x:c r="N95" s="258"/>
      <x:c r="O95" s="258"/>
      <x:c r="P95" s="258"/>
      <x:c r="Q95" s="258"/>
      <x:c r="R95" s="258"/>
      <x:c r="S95" s="258"/>
      <x:c r="T95" s="258"/>
      <x:c r="U95" s="258"/>
      <x:c r="V95" s="258"/>
      <x:c r="W95" s="258"/>
      <x:c r="X95" s="258"/>
      <x:c r="Y95" s="258"/>
      <x:c r="Z95" s="258"/>
    </x:row>
    <x:row r="96">
      <x:c r="A96" s="258"/>
      <x:c r="B96" s="258"/>
      <x:c r="C96" s="258"/>
      <x:c r="D96" s="258"/>
      <x:c r="E96" s="258"/>
      <x:c r="F96" s="258"/>
      <x:c r="G96" s="258"/>
      <x:c r="H96" s="258"/>
      <x:c r="I96" s="258"/>
      <x:c r="J96" s="258"/>
      <x:c r="K96" s="258"/>
      <x:c r="L96" s="258"/>
      <x:c r="M96" s="258"/>
      <x:c r="N96" s="258"/>
      <x:c r="O96" s="258"/>
      <x:c r="P96" s="258"/>
      <x:c r="Q96" s="258"/>
      <x:c r="R96" s="258"/>
      <x:c r="S96" s="258"/>
      <x:c r="T96" s="258"/>
      <x:c r="U96" s="258"/>
      <x:c r="V96" s="258"/>
      <x:c r="W96" s="258"/>
      <x:c r="X96" s="258"/>
      <x:c r="Y96" s="258"/>
      <x:c r="Z96" s="258"/>
    </x:row>
    <x:row r="97">
      <x:c r="A97" s="258"/>
      <x:c r="B97" s="258"/>
      <x:c r="C97" s="258"/>
      <x:c r="D97" s="258"/>
      <x:c r="E97" s="258"/>
      <x:c r="F97" s="258"/>
      <x:c r="G97" s="258"/>
      <x:c r="H97" s="258"/>
      <x:c r="I97" s="258"/>
      <x:c r="J97" s="258"/>
      <x:c r="K97" s="258"/>
      <x:c r="L97" s="258"/>
      <x:c r="M97" s="258"/>
      <x:c r="N97" s="258"/>
      <x:c r="O97" s="258"/>
      <x:c r="P97" s="258"/>
      <x:c r="Q97" s="258"/>
      <x:c r="R97" s="258"/>
      <x:c r="S97" s="258"/>
      <x:c r="T97" s="258"/>
      <x:c r="U97" s="258"/>
      <x:c r="V97" s="258"/>
      <x:c r="W97" s="258"/>
      <x:c r="X97" s="258"/>
      <x:c r="Y97" s="258"/>
      <x:c r="Z97" s="258"/>
    </x:row>
    <x:row r="98">
      <x:c r="A98" s="258"/>
      <x:c r="B98" s="258"/>
      <x:c r="C98" s="258"/>
      <x:c r="D98" s="258"/>
      <x:c r="E98" s="258"/>
      <x:c r="F98" s="258"/>
      <x:c r="G98" s="258"/>
      <x:c r="H98" s="258"/>
      <x:c r="I98" s="258"/>
      <x:c r="J98" s="258"/>
      <x:c r="K98" s="258"/>
      <x:c r="L98" s="258"/>
      <x:c r="M98" s="258"/>
      <x:c r="N98" s="258"/>
      <x:c r="O98" s="258"/>
      <x:c r="P98" s="258"/>
      <x:c r="Q98" s="258"/>
      <x:c r="R98" s="258"/>
      <x:c r="S98" s="258"/>
      <x:c r="T98" s="258"/>
      <x:c r="U98" s="258"/>
      <x:c r="V98" s="258"/>
      <x:c r="W98" s="258"/>
      <x:c r="X98" s="258"/>
      <x:c r="Y98" s="258"/>
      <x:c r="Z98" s="258"/>
    </x:row>
    <x:row r="99">
      <x:c r="A99" s="258"/>
      <x:c r="B99" s="258"/>
      <x:c r="C99" s="258"/>
      <x:c r="D99" s="258"/>
      <x:c r="E99" s="258"/>
      <x:c r="F99" s="258"/>
      <x:c r="G99" s="258"/>
      <x:c r="H99" s="258"/>
      <x:c r="I99" s="258"/>
      <x:c r="J99" s="258"/>
      <x:c r="K99" s="258"/>
      <x:c r="L99" s="258"/>
      <x:c r="M99" s="258"/>
      <x:c r="N99" s="258"/>
      <x:c r="O99" s="258"/>
      <x:c r="P99" s="258"/>
      <x:c r="Q99" s="258"/>
      <x:c r="R99" s="258"/>
      <x:c r="S99" s="258"/>
      <x:c r="T99" s="258"/>
      <x:c r="U99" s="258"/>
      <x:c r="V99" s="258"/>
      <x:c r="W99" s="258"/>
      <x:c r="X99" s="258"/>
      <x:c r="Y99" s="258"/>
      <x:c r="Z99" s="258"/>
    </x:row>
    <x:row r="100">
      <x:c r="A100" s="258"/>
      <x:c r="B100" s="258"/>
      <x:c r="C100" s="258"/>
      <x:c r="D100" s="258"/>
      <x:c r="E100" s="258"/>
      <x:c r="F100" s="258"/>
      <x:c r="G100" s="258"/>
      <x:c r="H100" s="258"/>
      <x:c r="I100" s="258"/>
      <x:c r="J100" s="258"/>
      <x:c r="K100" s="258"/>
      <x:c r="L100" s="258"/>
      <x:c r="M100" s="258"/>
      <x:c r="N100" s="258"/>
      <x:c r="O100" s="258"/>
      <x:c r="P100" s="258"/>
      <x:c r="Q100" s="258"/>
      <x:c r="R100" s="258"/>
      <x:c r="S100" s="258"/>
      <x:c r="T100" s="258"/>
      <x:c r="U100" s="258"/>
      <x:c r="V100" s="258"/>
      <x:c r="W100" s="258"/>
      <x:c r="X100" s="258"/>
      <x:c r="Y100" s="258"/>
      <x:c r="Z100" s="258"/>
    </x:row>
  </x:sheetData>
  <x:mergeCells>
    <x:mergeCell ref="A1:F1"/>
    <x:mergeCell ref="A3:F3"/>
    <x:mergeCell ref="B5:E15"/>
    <x:mergeCell ref="A17:F17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10.2300033569336" hidden="0" customWidth="1"/>
    <x:col min="2" max="2" width="4.980000019073486" hidden="0" customWidth="1"/>
  </x:cols>
  <x:sheetData>
    <x:row r="1" ht="34" customHeight="1">
      <x:c r="A1" s="5" t="str">
        <x:v>SCORING RULES</x:v>
      </x:c>
      <x:c r="B1" s="5"/>
      <x:c r="C1" s="5"/>
      <x:c r="D1" s="5"/>
      <x:c r="E1" s="5"/>
      <x:c r="F1" s="258"/>
      <x:c r="G1" s="258"/>
      <x:c r="H1" s="258"/>
      <x:c r="I1" s="258"/>
      <x:c r="J1" s="258"/>
      <x:c r="K1" s="258"/>
      <x:c r="L1" s="258"/>
      <x:c r="M1" s="258"/>
      <x:c r="N1" s="258"/>
      <x:c r="O1" s="258"/>
      <x:c r="P1" s="258"/>
      <x:c r="Q1" s="258"/>
      <x:c r="R1" s="258"/>
      <x:c r="S1" s="258"/>
      <x:c r="T1" s="258"/>
      <x:c r="U1" s="258"/>
      <x:c r="V1" s="258"/>
      <x:c r="W1" s="258"/>
      <x:c r="X1" s="258"/>
      <x:c r="Y1" s="258"/>
      <x:c r="Z1" s="258"/>
    </x:row>
    <x:row r="2">
      <x:c r="A2" s="258"/>
      <x:c r="B2" s="258"/>
      <x:c r="C2" s="258"/>
      <x:c r="D2" s="258"/>
      <x:c r="E2" s="258"/>
      <x:c r="F2" s="258"/>
      <x:c r="G2" s="258"/>
      <x:c r="H2" s="258"/>
      <x:c r="I2" s="258"/>
      <x:c r="J2" s="258"/>
      <x:c r="K2" s="258"/>
      <x:c r="L2" s="258"/>
      <x:c r="M2" s="258"/>
      <x:c r="N2" s="258"/>
      <x:c r="O2" s="258"/>
      <x:c r="P2" s="258"/>
      <x:c r="Q2" s="258"/>
      <x:c r="R2" s="258"/>
      <x:c r="S2" s="258"/>
      <x:c r="T2" s="258"/>
      <x:c r="U2" s="258"/>
      <x:c r="V2" s="258"/>
      <x:c r="W2" s="258"/>
      <x:c r="X2" s="258"/>
      <x:c r="Y2" s="258"/>
      <x:c r="Z2" s="258"/>
    </x:row>
    <x:row r="3">
      <x:c r="A3" s="350" t="str">
        <x:v>Event</x:v>
      </x:c>
      <x:c r="B3" s="351" t="str">
        <x:v>Points</x:v>
      </x:c>
      <x:c r="C3" s="258"/>
      <x:c r="D3" s="258"/>
      <x:c r="E3" s="258"/>
      <x:c r="F3" s="258"/>
      <x:c r="G3" s="258"/>
      <x:c r="H3" s="258"/>
      <x:c r="I3" s="258"/>
      <x:c r="J3" s="258"/>
      <x:c r="K3" s="258"/>
      <x:c r="L3" s="258"/>
      <x:c r="M3" s="258"/>
      <x:c r="N3" s="258"/>
      <x:c r="O3" s="258"/>
      <x:c r="P3" s="258"/>
      <x:c r="Q3" s="258"/>
      <x:c r="R3" s="258"/>
      <x:c r="S3" s="258"/>
      <x:c r="T3" s="258"/>
      <x:c r="U3" s="258"/>
      <x:c r="V3" s="258"/>
      <x:c r="W3" s="258"/>
      <x:c r="X3" s="258"/>
      <x:c r="Y3" s="258"/>
      <x:c r="Z3" s="258"/>
    </x:row>
    <x:row r="4">
      <x:c r="A4" s="267" t="str">
        <x:v>Group-stage win</x:v>
      </x:c>
      <x:c r="B4" s="266" t="str">
        <x:v>3</x:v>
      </x:c>
      <x:c r="C4" s="258"/>
      <x:c r="D4" s="258"/>
      <x:c r="E4" s="258"/>
      <x:c r="F4" s="258"/>
      <x:c r="G4" s="258"/>
      <x:c r="H4" s="258"/>
      <x:c r="I4" s="258"/>
      <x:c r="J4" s="258"/>
      <x:c r="K4" s="258"/>
      <x:c r="L4" s="258"/>
      <x:c r="M4" s="258"/>
      <x:c r="N4" s="258"/>
      <x:c r="O4" s="258"/>
      <x:c r="P4" s="258"/>
      <x:c r="Q4" s="258"/>
      <x:c r="R4" s="258"/>
      <x:c r="S4" s="258"/>
      <x:c r="T4" s="258"/>
      <x:c r="U4" s="258"/>
      <x:c r="V4" s="258"/>
      <x:c r="W4" s="258"/>
      <x:c r="X4" s="258"/>
      <x:c r="Y4" s="258"/>
      <x:c r="Z4" s="258"/>
    </x:row>
    <x:row r="5">
      <x:c r="A5" s="267" t="str">
        <x:v>Group-stage draw</x:v>
      </x:c>
      <x:c r="B5" s="266" t="str">
        <x:v>1</x:v>
      </x:c>
      <x:c r="C5" s="258"/>
      <x:c r="D5" s="258"/>
      <x:c r="E5" s="258"/>
      <x:c r="F5" s="258"/>
      <x:c r="G5" s="258"/>
      <x:c r="H5" s="258"/>
      <x:c r="I5" s="258"/>
      <x:c r="J5" s="258"/>
      <x:c r="K5" s="258"/>
      <x:c r="L5" s="258"/>
      <x:c r="M5" s="258"/>
      <x:c r="N5" s="258"/>
      <x:c r="O5" s="258"/>
      <x:c r="P5" s="258"/>
      <x:c r="Q5" s="258"/>
      <x:c r="R5" s="258"/>
      <x:c r="S5" s="258"/>
      <x:c r="T5" s="258"/>
      <x:c r="U5" s="258"/>
      <x:c r="V5" s="258"/>
      <x:c r="W5" s="258"/>
      <x:c r="X5" s="258"/>
      <x:c r="Y5" s="258"/>
      <x:c r="Z5" s="258"/>
    </x:row>
    <x:row r="6">
      <x:c r="A6" s="267" t="str">
        <x:v>Reach Round of 16</x:v>
      </x:c>
      <x:c r="B6" s="266" t="str">
        <x:v>+5</x:v>
      </x:c>
      <x:c r="C6" s="258"/>
      <x:c r="D6" s="258"/>
      <x:c r="E6" s="258"/>
      <x:c r="F6" s="258"/>
      <x:c r="G6" s="258"/>
      <x:c r="H6" s="258"/>
      <x:c r="I6" s="258"/>
      <x:c r="J6" s="258"/>
      <x:c r="K6" s="258"/>
      <x:c r="L6" s="258"/>
      <x:c r="M6" s="258"/>
      <x:c r="N6" s="258"/>
      <x:c r="O6" s="258"/>
      <x:c r="P6" s="258"/>
      <x:c r="Q6" s="258"/>
      <x:c r="R6" s="258"/>
      <x:c r="S6" s="258"/>
      <x:c r="T6" s="258"/>
      <x:c r="U6" s="258"/>
      <x:c r="V6" s="258"/>
      <x:c r="W6" s="258"/>
      <x:c r="X6" s="258"/>
      <x:c r="Y6" s="258"/>
      <x:c r="Z6" s="258"/>
    </x:row>
    <x:row r="7">
      <x:c r="A7" s="267" t="str">
        <x:v>Reach Quarter Final</x:v>
      </x:c>
      <x:c r="B7" s="266" t="str">
        <x:v>+10</x:v>
      </x:c>
      <x:c r="C7" s="258"/>
      <x:c r="D7" s="258"/>
      <x:c r="E7" s="258"/>
      <x:c r="F7" s="258"/>
      <x:c r="G7" s="258"/>
      <x:c r="H7" s="258"/>
      <x:c r="I7" s="258"/>
      <x:c r="J7" s="258"/>
      <x:c r="K7" s="258"/>
      <x:c r="L7" s="258"/>
      <x:c r="M7" s="258"/>
      <x:c r="N7" s="258"/>
      <x:c r="O7" s="258"/>
      <x:c r="P7" s="258"/>
      <x:c r="Q7" s="258"/>
      <x:c r="R7" s="258"/>
      <x:c r="S7" s="258"/>
      <x:c r="T7" s="258"/>
      <x:c r="U7" s="258"/>
      <x:c r="V7" s="258"/>
      <x:c r="W7" s="258"/>
      <x:c r="X7" s="258"/>
      <x:c r="Y7" s="258"/>
      <x:c r="Z7" s="258"/>
    </x:row>
    <x:row r="8">
      <x:c r="A8" s="267" t="str">
        <x:v>Reach Semi Final</x:v>
      </x:c>
      <x:c r="B8" s="266" t="str">
        <x:v>+15</x:v>
      </x:c>
      <x:c r="C8" s="258"/>
      <x:c r="D8" s="258"/>
      <x:c r="E8" s="258"/>
      <x:c r="F8" s="258"/>
      <x:c r="G8" s="258"/>
      <x:c r="H8" s="258"/>
      <x:c r="I8" s="258"/>
      <x:c r="J8" s="258"/>
      <x:c r="K8" s="258"/>
      <x:c r="L8" s="258"/>
      <x:c r="M8" s="258"/>
      <x:c r="N8" s="258"/>
      <x:c r="O8" s="258"/>
      <x:c r="P8" s="258"/>
      <x:c r="Q8" s="258"/>
      <x:c r="R8" s="258"/>
      <x:c r="S8" s="258"/>
      <x:c r="T8" s="258"/>
      <x:c r="U8" s="258"/>
      <x:c r="V8" s="258"/>
      <x:c r="W8" s="258"/>
      <x:c r="X8" s="258"/>
      <x:c r="Y8" s="258"/>
      <x:c r="Z8" s="258"/>
    </x:row>
    <x:row r="9">
      <x:c r="A9" s="267" t="str">
        <x:v>Reach Final</x:v>
      </x:c>
      <x:c r="B9" s="266" t="str">
        <x:v>+20</x:v>
      </x:c>
      <x:c r="C9" s="258"/>
      <x:c r="D9" s="258"/>
      <x:c r="E9" s="258"/>
      <x:c r="F9" s="258"/>
      <x:c r="G9" s="258"/>
      <x:c r="H9" s="258"/>
      <x:c r="I9" s="258"/>
      <x:c r="J9" s="258"/>
      <x:c r="K9" s="258"/>
      <x:c r="L9" s="258"/>
      <x:c r="M9" s="258"/>
      <x:c r="N9" s="258"/>
      <x:c r="O9" s="258"/>
      <x:c r="P9" s="258"/>
      <x:c r="Q9" s="258"/>
      <x:c r="R9" s="258"/>
      <x:c r="S9" s="258"/>
      <x:c r="T9" s="258"/>
      <x:c r="U9" s="258"/>
      <x:c r="V9" s="258"/>
      <x:c r="W9" s="258"/>
      <x:c r="X9" s="258"/>
      <x:c r="Y9" s="258"/>
      <x:c r="Z9" s="258"/>
    </x:row>
    <x:row r="10">
      <x:c r="A10" s="268" t="str">
        <x:v>Win Tournament</x:v>
      </x:c>
      <x:c r="B10" s="270" t="str">
        <x:v>+30</x:v>
      </x:c>
      <x:c r="C10" s="258"/>
      <x:c r="D10" s="258"/>
      <x:c r="E10" s="258"/>
      <x:c r="F10" s="258"/>
      <x:c r="G10" s="258"/>
      <x:c r="H10" s="258"/>
      <x:c r="I10" s="258"/>
      <x:c r="J10" s="258"/>
      <x:c r="K10" s="258"/>
      <x:c r="L10" s="258"/>
      <x:c r="M10" s="258"/>
      <x:c r="N10" s="258"/>
      <x:c r="O10" s="258"/>
      <x:c r="P10" s="258"/>
      <x:c r="Q10" s="258"/>
      <x:c r="R10" s="258"/>
      <x:c r="S10" s="258"/>
      <x:c r="T10" s="258"/>
      <x:c r="U10" s="258"/>
      <x:c r="V10" s="258"/>
      <x:c r="W10" s="258"/>
      <x:c r="X10" s="258"/>
      <x:c r="Y10" s="258"/>
      <x:c r="Z10" s="258"/>
    </x:row>
    <x:row r="11">
      <x:c r="A11" s="258"/>
      <x:c r="B11" s="258"/>
      <x:c r="C11" s="258"/>
      <x:c r="D11" s="258"/>
      <x:c r="E11" s="258"/>
      <x:c r="F11" s="258"/>
      <x:c r="G11" s="258"/>
      <x:c r="H11" s="258"/>
      <x:c r="I11" s="258"/>
      <x:c r="J11" s="258"/>
      <x:c r="K11" s="258"/>
      <x:c r="L11" s="258"/>
      <x:c r="M11" s="258"/>
      <x:c r="N11" s="258"/>
      <x:c r="O11" s="258"/>
      <x:c r="P11" s="258"/>
      <x:c r="Q11" s="258"/>
      <x:c r="R11" s="258"/>
      <x:c r="S11" s="258"/>
      <x:c r="T11" s="258"/>
      <x:c r="U11" s="258"/>
      <x:c r="V11" s="258"/>
      <x:c r="W11" s="258"/>
      <x:c r="X11" s="258"/>
      <x:c r="Y11" s="258"/>
      <x:c r="Z11" s="258"/>
    </x:row>
    <x:row r="12">
      <x:c r="A12" s="252" t="str">
        <x:v>Tip: keep the Results Entry tab as the only place you update points. The Dashboard, Players and Team Tracker pages update from there.</x:v>
      </x:c>
      <x:c r="B12" s="252"/>
      <x:c r="C12" s="252"/>
      <x:c r="D12" s="252"/>
      <x:c r="E12" s="252"/>
      <x:c r="F12" s="258"/>
      <x:c r="G12" s="258"/>
      <x:c r="H12" s="258"/>
      <x:c r="I12" s="258"/>
      <x:c r="J12" s="258"/>
      <x:c r="K12" s="258"/>
      <x:c r="L12" s="258"/>
      <x:c r="M12" s="258"/>
      <x:c r="N12" s="258"/>
      <x:c r="O12" s="258"/>
      <x:c r="P12" s="258"/>
      <x:c r="Q12" s="258"/>
      <x:c r="R12" s="258"/>
      <x:c r="S12" s="258"/>
      <x:c r="T12" s="258"/>
      <x:c r="U12" s="258"/>
      <x:c r="V12" s="258"/>
      <x:c r="W12" s="258"/>
      <x:c r="X12" s="258"/>
      <x:c r="Y12" s="258"/>
      <x:c r="Z12" s="258"/>
    </x:row>
    <x:row r="13">
      <x:c r="A13" s="252"/>
      <x:c r="B13" s="252"/>
      <x:c r="C13" s="252"/>
      <x:c r="D13" s="252"/>
      <x:c r="E13" s="252"/>
      <x:c r="F13" s="258"/>
      <x:c r="G13" s="258"/>
      <x:c r="H13" s="258"/>
      <x:c r="I13" s="258"/>
      <x:c r="J13" s="258"/>
      <x:c r="K13" s="258"/>
      <x:c r="L13" s="258"/>
      <x:c r="M13" s="258"/>
      <x:c r="N13" s="258"/>
      <x:c r="O13" s="258"/>
      <x:c r="P13" s="258"/>
      <x:c r="Q13" s="258"/>
      <x:c r="R13" s="258"/>
      <x:c r="S13" s="258"/>
      <x:c r="T13" s="258"/>
      <x:c r="U13" s="258"/>
      <x:c r="V13" s="258"/>
      <x:c r="W13" s="258"/>
      <x:c r="X13" s="258"/>
      <x:c r="Y13" s="258"/>
      <x:c r="Z13" s="258"/>
    </x:row>
    <x:row r="14">
      <x:c r="A14" s="252"/>
      <x:c r="B14" s="252"/>
      <x:c r="C14" s="252"/>
      <x:c r="D14" s="252"/>
      <x:c r="E14" s="252"/>
      <x:c r="F14" s="258"/>
      <x:c r="G14" s="258"/>
      <x:c r="H14" s="258"/>
      <x:c r="I14" s="258"/>
      <x:c r="J14" s="258"/>
      <x:c r="K14" s="258"/>
      <x:c r="L14" s="258"/>
      <x:c r="M14" s="258"/>
      <x:c r="N14" s="258"/>
      <x:c r="O14" s="258"/>
      <x:c r="P14" s="258"/>
      <x:c r="Q14" s="258"/>
      <x:c r="R14" s="258"/>
      <x:c r="S14" s="258"/>
      <x:c r="T14" s="258"/>
      <x:c r="U14" s="258"/>
      <x:c r="V14" s="258"/>
      <x:c r="W14" s="258"/>
      <x:c r="X14" s="258"/>
      <x:c r="Y14" s="258"/>
      <x:c r="Z14" s="258"/>
    </x:row>
    <x:row r="15">
      <x:c r="A15" s="258"/>
      <x:c r="B15" s="258"/>
      <x:c r="C15" s="258"/>
      <x:c r="D15" s="258"/>
      <x:c r="E15" s="258"/>
      <x:c r="F15" s="258"/>
      <x:c r="G15" s="258"/>
      <x:c r="H15" s="258"/>
      <x:c r="I15" s="258"/>
      <x:c r="J15" s="258"/>
      <x:c r="K15" s="258"/>
      <x:c r="L15" s="258"/>
      <x:c r="M15" s="258"/>
      <x:c r="N15" s="258"/>
      <x:c r="O15" s="258"/>
      <x:c r="P15" s="258"/>
      <x:c r="Q15" s="258"/>
      <x:c r="R15" s="258"/>
      <x:c r="S15" s="258"/>
      <x:c r="T15" s="258"/>
      <x:c r="U15" s="258"/>
      <x:c r="V15" s="258"/>
      <x:c r="W15" s="258"/>
      <x:c r="X15" s="258"/>
      <x:c r="Y15" s="258"/>
      <x:c r="Z15" s="258"/>
    </x:row>
    <x:row r="16">
      <x:c r="A16" s="258"/>
      <x:c r="B16" s="258"/>
      <x:c r="C16" s="258"/>
      <x:c r="D16" s="258"/>
      <x:c r="E16" s="258"/>
      <x:c r="F16" s="258"/>
      <x:c r="G16" s="258"/>
      <x:c r="H16" s="258"/>
      <x:c r="I16" s="258"/>
      <x:c r="J16" s="258"/>
      <x:c r="K16" s="258"/>
      <x:c r="L16" s="258"/>
      <x:c r="M16" s="258"/>
      <x:c r="N16" s="258"/>
      <x:c r="O16" s="258"/>
      <x:c r="P16" s="258"/>
      <x:c r="Q16" s="258"/>
      <x:c r="R16" s="258"/>
      <x:c r="S16" s="258"/>
      <x:c r="T16" s="258"/>
      <x:c r="U16" s="258"/>
      <x:c r="V16" s="258"/>
      <x:c r="W16" s="258"/>
      <x:c r="X16" s="258"/>
      <x:c r="Y16" s="258"/>
      <x:c r="Z16" s="258"/>
    </x:row>
    <x:row r="17">
      <x:c r="A17" s="258"/>
      <x:c r="B17" s="258"/>
      <x:c r="C17" s="258"/>
      <x:c r="D17" s="258"/>
      <x:c r="E17" s="258"/>
      <x:c r="F17" s="258"/>
      <x:c r="G17" s="258"/>
      <x:c r="H17" s="258"/>
      <x:c r="I17" s="258"/>
      <x:c r="J17" s="258"/>
      <x:c r="K17" s="258"/>
      <x:c r="L17" s="258"/>
      <x:c r="M17" s="258"/>
      <x:c r="N17" s="258"/>
      <x:c r="O17" s="258"/>
      <x:c r="P17" s="258"/>
      <x:c r="Q17" s="258"/>
      <x:c r="R17" s="258"/>
      <x:c r="S17" s="258"/>
      <x:c r="T17" s="258"/>
      <x:c r="U17" s="258"/>
      <x:c r="V17" s="258"/>
      <x:c r="W17" s="258"/>
      <x:c r="X17" s="258"/>
      <x:c r="Y17" s="258"/>
      <x:c r="Z17" s="258"/>
    </x:row>
    <x:row r="18">
      <x:c r="A18" s="258"/>
      <x:c r="B18" s="258"/>
      <x:c r="C18" s="258"/>
      <x:c r="D18" s="258"/>
      <x:c r="E18" s="258"/>
      <x:c r="F18" s="258"/>
      <x:c r="G18" s="258"/>
      <x:c r="H18" s="258"/>
      <x:c r="I18" s="258"/>
      <x:c r="J18" s="258"/>
      <x:c r="K18" s="258"/>
      <x:c r="L18" s="258"/>
      <x:c r="M18" s="258"/>
      <x:c r="N18" s="258"/>
      <x:c r="O18" s="258"/>
      <x:c r="P18" s="258"/>
      <x:c r="Q18" s="258"/>
      <x:c r="R18" s="258"/>
      <x:c r="S18" s="258"/>
      <x:c r="T18" s="258"/>
      <x:c r="U18" s="258"/>
      <x:c r="V18" s="258"/>
      <x:c r="W18" s="258"/>
      <x:c r="X18" s="258"/>
      <x:c r="Y18" s="258"/>
      <x:c r="Z18" s="258"/>
    </x:row>
    <x:row r="19">
      <x:c r="A19" s="258"/>
      <x:c r="B19" s="258"/>
      <x:c r="C19" s="258"/>
      <x:c r="D19" s="258"/>
      <x:c r="E19" s="258"/>
      <x:c r="F19" s="258"/>
      <x:c r="G19" s="258"/>
      <x:c r="H19" s="258"/>
      <x:c r="I19" s="258"/>
      <x:c r="J19" s="258"/>
      <x:c r="K19" s="258"/>
      <x:c r="L19" s="258"/>
      <x:c r="M19" s="258"/>
      <x:c r="N19" s="258"/>
      <x:c r="O19" s="258"/>
      <x:c r="P19" s="258"/>
      <x:c r="Q19" s="258"/>
      <x:c r="R19" s="258"/>
      <x:c r="S19" s="258"/>
      <x:c r="T19" s="258"/>
      <x:c r="U19" s="258"/>
      <x:c r="V19" s="258"/>
      <x:c r="W19" s="258"/>
      <x:c r="X19" s="258"/>
      <x:c r="Y19" s="258"/>
      <x:c r="Z19" s="258"/>
    </x:row>
    <x:row r="20">
      <x:c r="A20" s="258"/>
      <x:c r="B20" s="258"/>
      <x:c r="C20" s="258"/>
      <x:c r="D20" s="258"/>
      <x:c r="E20" s="258"/>
      <x:c r="F20" s="258"/>
      <x:c r="G20" s="258"/>
      <x:c r="H20" s="258"/>
      <x:c r="I20" s="258"/>
      <x:c r="J20" s="258"/>
      <x:c r="K20" s="258"/>
      <x:c r="L20" s="258"/>
      <x:c r="M20" s="258"/>
      <x:c r="N20" s="258"/>
      <x:c r="O20" s="258"/>
      <x:c r="P20" s="258"/>
      <x:c r="Q20" s="258"/>
      <x:c r="R20" s="258"/>
      <x:c r="S20" s="258"/>
      <x:c r="T20" s="258"/>
      <x:c r="U20" s="258"/>
      <x:c r="V20" s="258"/>
      <x:c r="W20" s="258"/>
      <x:c r="X20" s="258"/>
      <x:c r="Y20" s="258"/>
      <x:c r="Z20" s="258"/>
    </x:row>
    <x:row r="21">
      <x:c r="A21" s="258"/>
      <x:c r="B21" s="258"/>
      <x:c r="C21" s="258"/>
      <x:c r="D21" s="258"/>
      <x:c r="E21" s="258"/>
      <x:c r="F21" s="258"/>
      <x:c r="G21" s="258"/>
      <x:c r="H21" s="258"/>
      <x:c r="I21" s="258"/>
      <x:c r="J21" s="258"/>
      <x:c r="K21" s="258"/>
      <x:c r="L21" s="258"/>
      <x:c r="M21" s="258"/>
      <x:c r="N21" s="258"/>
      <x:c r="O21" s="258"/>
      <x:c r="P21" s="258"/>
      <x:c r="Q21" s="258"/>
      <x:c r="R21" s="258"/>
      <x:c r="S21" s="258"/>
      <x:c r="T21" s="258"/>
      <x:c r="U21" s="258"/>
      <x:c r="V21" s="258"/>
      <x:c r="W21" s="258"/>
      <x:c r="X21" s="258"/>
      <x:c r="Y21" s="258"/>
      <x:c r="Z21" s="258"/>
    </x:row>
    <x:row r="22">
      <x:c r="A22" s="258"/>
      <x:c r="B22" s="258"/>
      <x:c r="C22" s="258"/>
      <x:c r="D22" s="258"/>
      <x:c r="E22" s="258"/>
      <x:c r="F22" s="258"/>
      <x:c r="G22" s="258"/>
      <x:c r="H22" s="258"/>
      <x:c r="I22" s="258"/>
      <x:c r="J22" s="258"/>
      <x:c r="K22" s="258"/>
      <x:c r="L22" s="258"/>
      <x:c r="M22" s="258"/>
      <x:c r="N22" s="258"/>
      <x:c r="O22" s="258"/>
      <x:c r="P22" s="258"/>
      <x:c r="Q22" s="258"/>
      <x:c r="R22" s="258"/>
      <x:c r="S22" s="258"/>
      <x:c r="T22" s="258"/>
      <x:c r="U22" s="258"/>
      <x:c r="V22" s="258"/>
      <x:c r="W22" s="258"/>
      <x:c r="X22" s="258"/>
      <x:c r="Y22" s="258"/>
      <x:c r="Z22" s="258"/>
    </x:row>
    <x:row r="23">
      <x:c r="A23" s="258"/>
      <x:c r="B23" s="258"/>
      <x:c r="C23" s="258"/>
      <x:c r="D23" s="258"/>
      <x:c r="E23" s="258"/>
      <x:c r="F23" s="258"/>
      <x:c r="G23" s="258"/>
      <x:c r="H23" s="258"/>
      <x:c r="I23" s="258"/>
      <x:c r="J23" s="258"/>
      <x:c r="K23" s="258"/>
      <x:c r="L23" s="258"/>
      <x:c r="M23" s="258"/>
      <x:c r="N23" s="258"/>
      <x:c r="O23" s="258"/>
      <x:c r="P23" s="258"/>
      <x:c r="Q23" s="258"/>
      <x:c r="R23" s="258"/>
      <x:c r="S23" s="258"/>
      <x:c r="T23" s="258"/>
      <x:c r="U23" s="258"/>
      <x:c r="V23" s="258"/>
      <x:c r="W23" s="258"/>
      <x:c r="X23" s="258"/>
      <x:c r="Y23" s="258"/>
      <x:c r="Z23" s="258"/>
    </x:row>
    <x:row r="24">
      <x:c r="A24" s="258"/>
      <x:c r="B24" s="258"/>
      <x:c r="C24" s="258"/>
      <x:c r="D24" s="258"/>
      <x:c r="E24" s="258"/>
      <x:c r="F24" s="258"/>
      <x:c r="G24" s="258"/>
      <x:c r="H24" s="258"/>
      <x:c r="I24" s="258"/>
      <x:c r="J24" s="258"/>
      <x:c r="K24" s="258"/>
      <x:c r="L24" s="258"/>
      <x:c r="M24" s="258"/>
      <x:c r="N24" s="258"/>
      <x:c r="O24" s="258"/>
      <x:c r="P24" s="258"/>
      <x:c r="Q24" s="258"/>
      <x:c r="R24" s="258"/>
      <x:c r="S24" s="258"/>
      <x:c r="T24" s="258"/>
      <x:c r="U24" s="258"/>
      <x:c r="V24" s="258"/>
      <x:c r="W24" s="258"/>
      <x:c r="X24" s="258"/>
      <x:c r="Y24" s="258"/>
      <x:c r="Z24" s="258"/>
    </x:row>
    <x:row r="25">
      <x:c r="A25" s="258"/>
      <x:c r="B25" s="258"/>
      <x:c r="C25" s="258"/>
      <x:c r="D25" s="258"/>
      <x:c r="E25" s="258"/>
      <x:c r="F25" s="258"/>
      <x:c r="G25" s="258"/>
      <x:c r="H25" s="258"/>
      <x:c r="I25" s="258"/>
      <x:c r="J25" s="258"/>
      <x:c r="K25" s="258"/>
      <x:c r="L25" s="258"/>
      <x:c r="M25" s="258"/>
      <x:c r="N25" s="258"/>
      <x:c r="O25" s="258"/>
      <x:c r="P25" s="258"/>
      <x:c r="Q25" s="258"/>
      <x:c r="R25" s="258"/>
      <x:c r="S25" s="258"/>
      <x:c r="T25" s="258"/>
      <x:c r="U25" s="258"/>
      <x:c r="V25" s="258"/>
      <x:c r="W25" s="258"/>
      <x:c r="X25" s="258"/>
      <x:c r="Y25" s="258"/>
      <x:c r="Z25" s="258"/>
    </x:row>
    <x:row r="26">
      <x:c r="A26" s="258"/>
      <x:c r="B26" s="258"/>
      <x:c r="C26" s="258"/>
      <x:c r="D26" s="258"/>
      <x:c r="E26" s="258"/>
      <x:c r="F26" s="258"/>
      <x:c r="G26" s="258"/>
      <x:c r="H26" s="258"/>
      <x:c r="I26" s="258"/>
      <x:c r="J26" s="258"/>
      <x:c r="K26" s="258"/>
      <x:c r="L26" s="258"/>
      <x:c r="M26" s="258"/>
      <x:c r="N26" s="258"/>
      <x:c r="O26" s="258"/>
      <x:c r="P26" s="258"/>
      <x:c r="Q26" s="258"/>
      <x:c r="R26" s="258"/>
      <x:c r="S26" s="258"/>
      <x:c r="T26" s="258"/>
      <x:c r="U26" s="258"/>
      <x:c r="V26" s="258"/>
      <x:c r="W26" s="258"/>
      <x:c r="X26" s="258"/>
      <x:c r="Y26" s="258"/>
      <x:c r="Z26" s="258"/>
    </x:row>
    <x:row r="27">
      <x:c r="A27" s="258"/>
      <x:c r="B27" s="258"/>
      <x:c r="C27" s="258"/>
      <x:c r="D27" s="258"/>
      <x:c r="E27" s="258"/>
      <x:c r="F27" s="258"/>
      <x:c r="G27" s="258"/>
      <x:c r="H27" s="258"/>
      <x:c r="I27" s="258"/>
      <x:c r="J27" s="258"/>
      <x:c r="K27" s="258"/>
      <x:c r="L27" s="258"/>
      <x:c r="M27" s="258"/>
      <x:c r="N27" s="258"/>
      <x:c r="O27" s="258"/>
      <x:c r="P27" s="258"/>
      <x:c r="Q27" s="258"/>
      <x:c r="R27" s="258"/>
      <x:c r="S27" s="258"/>
      <x:c r="T27" s="258"/>
      <x:c r="U27" s="258"/>
      <x:c r="V27" s="258"/>
      <x:c r="W27" s="258"/>
      <x:c r="X27" s="258"/>
      <x:c r="Y27" s="258"/>
      <x:c r="Z27" s="258"/>
    </x:row>
    <x:row r="28">
      <x:c r="A28" s="258"/>
      <x:c r="B28" s="258"/>
      <x:c r="C28" s="258"/>
      <x:c r="D28" s="258"/>
      <x:c r="E28" s="258"/>
      <x:c r="F28" s="258"/>
      <x:c r="G28" s="258"/>
      <x:c r="H28" s="258"/>
      <x:c r="I28" s="258"/>
      <x:c r="J28" s="258"/>
      <x:c r="K28" s="258"/>
      <x:c r="L28" s="258"/>
      <x:c r="M28" s="258"/>
      <x:c r="N28" s="258"/>
      <x:c r="O28" s="258"/>
      <x:c r="P28" s="258"/>
      <x:c r="Q28" s="258"/>
      <x:c r="R28" s="258"/>
      <x:c r="S28" s="258"/>
      <x:c r="T28" s="258"/>
      <x:c r="U28" s="258"/>
      <x:c r="V28" s="258"/>
      <x:c r="W28" s="258"/>
      <x:c r="X28" s="258"/>
      <x:c r="Y28" s="258"/>
      <x:c r="Z28" s="258"/>
    </x:row>
    <x:row r="29">
      <x:c r="A29" s="258"/>
      <x:c r="B29" s="258"/>
      <x:c r="C29" s="258"/>
      <x:c r="D29" s="258"/>
      <x:c r="E29" s="258"/>
      <x:c r="F29" s="258"/>
      <x:c r="G29" s="258"/>
      <x:c r="H29" s="258"/>
      <x:c r="I29" s="258"/>
      <x:c r="J29" s="258"/>
      <x:c r="K29" s="258"/>
      <x:c r="L29" s="258"/>
      <x:c r="M29" s="258"/>
      <x:c r="N29" s="258"/>
      <x:c r="O29" s="258"/>
      <x:c r="P29" s="258"/>
      <x:c r="Q29" s="258"/>
      <x:c r="R29" s="258"/>
      <x:c r="S29" s="258"/>
      <x:c r="T29" s="258"/>
      <x:c r="U29" s="258"/>
      <x:c r="V29" s="258"/>
      <x:c r="W29" s="258"/>
      <x:c r="X29" s="258"/>
      <x:c r="Y29" s="258"/>
      <x:c r="Z29" s="258"/>
    </x:row>
    <x:row r="30">
      <x:c r="A30" s="258"/>
      <x:c r="B30" s="258"/>
      <x:c r="C30" s="258"/>
      <x:c r="D30" s="258"/>
      <x:c r="E30" s="258"/>
      <x:c r="F30" s="258"/>
      <x:c r="G30" s="258"/>
      <x:c r="H30" s="258"/>
      <x:c r="I30" s="258"/>
      <x:c r="J30" s="258"/>
      <x:c r="K30" s="258"/>
      <x:c r="L30" s="258"/>
      <x:c r="M30" s="258"/>
      <x:c r="N30" s="258"/>
      <x:c r="O30" s="258"/>
      <x:c r="P30" s="258"/>
      <x:c r="Q30" s="258"/>
      <x:c r="R30" s="258"/>
      <x:c r="S30" s="258"/>
      <x:c r="T30" s="258"/>
      <x:c r="U30" s="258"/>
      <x:c r="V30" s="258"/>
      <x:c r="W30" s="258"/>
      <x:c r="X30" s="258"/>
      <x:c r="Y30" s="258"/>
      <x:c r="Z30" s="258"/>
    </x:row>
    <x:row r="31">
      <x:c r="A31" s="258"/>
      <x:c r="B31" s="258"/>
      <x:c r="C31" s="258"/>
      <x:c r="D31" s="258"/>
      <x:c r="E31" s="258"/>
      <x:c r="F31" s="258"/>
      <x:c r="G31" s="258"/>
      <x:c r="H31" s="258"/>
      <x:c r="I31" s="258"/>
      <x:c r="J31" s="258"/>
      <x:c r="K31" s="258"/>
      <x:c r="L31" s="258"/>
      <x:c r="M31" s="258"/>
      <x:c r="N31" s="258"/>
      <x:c r="O31" s="258"/>
      <x:c r="P31" s="258"/>
      <x:c r="Q31" s="258"/>
      <x:c r="R31" s="258"/>
      <x:c r="S31" s="258"/>
      <x:c r="T31" s="258"/>
      <x:c r="U31" s="258"/>
      <x:c r="V31" s="258"/>
      <x:c r="W31" s="258"/>
      <x:c r="X31" s="258"/>
      <x:c r="Y31" s="258"/>
      <x:c r="Z31" s="258"/>
    </x:row>
    <x:row r="32">
      <x:c r="A32" s="258"/>
      <x:c r="B32" s="258"/>
      <x:c r="C32" s="258"/>
      <x:c r="D32" s="258"/>
      <x:c r="E32" s="258"/>
      <x:c r="F32" s="258"/>
      <x:c r="G32" s="258"/>
      <x:c r="H32" s="258"/>
      <x:c r="I32" s="258"/>
      <x:c r="J32" s="258"/>
      <x:c r="K32" s="258"/>
      <x:c r="L32" s="258"/>
      <x:c r="M32" s="258"/>
      <x:c r="N32" s="258"/>
      <x:c r="O32" s="258"/>
      <x:c r="P32" s="258"/>
      <x:c r="Q32" s="258"/>
      <x:c r="R32" s="258"/>
      <x:c r="S32" s="258"/>
      <x:c r="T32" s="258"/>
      <x:c r="U32" s="258"/>
      <x:c r="V32" s="258"/>
      <x:c r="W32" s="258"/>
      <x:c r="X32" s="258"/>
      <x:c r="Y32" s="258"/>
      <x:c r="Z32" s="258"/>
    </x:row>
    <x:row r="33">
      <x:c r="A33" s="258"/>
      <x:c r="B33" s="258"/>
      <x:c r="C33" s="258"/>
      <x:c r="D33" s="258"/>
      <x:c r="E33" s="258"/>
      <x:c r="F33" s="258"/>
      <x:c r="G33" s="258"/>
      <x:c r="H33" s="258"/>
      <x:c r="I33" s="258"/>
      <x:c r="J33" s="258"/>
      <x:c r="K33" s="258"/>
      <x:c r="L33" s="258"/>
      <x:c r="M33" s="258"/>
      <x:c r="N33" s="258"/>
      <x:c r="O33" s="258"/>
      <x:c r="P33" s="258"/>
      <x:c r="Q33" s="258"/>
      <x:c r="R33" s="258"/>
      <x:c r="S33" s="258"/>
      <x:c r="T33" s="258"/>
      <x:c r="U33" s="258"/>
      <x:c r="V33" s="258"/>
      <x:c r="W33" s="258"/>
      <x:c r="X33" s="258"/>
      <x:c r="Y33" s="258"/>
      <x:c r="Z33" s="258"/>
    </x:row>
    <x:row r="34">
      <x:c r="A34" s="258"/>
      <x:c r="B34" s="258"/>
      <x:c r="C34" s="258"/>
      <x:c r="D34" s="258"/>
      <x:c r="E34" s="258"/>
      <x:c r="F34" s="258"/>
      <x:c r="G34" s="258"/>
      <x:c r="H34" s="258"/>
      <x:c r="I34" s="258"/>
      <x:c r="J34" s="258"/>
      <x:c r="K34" s="258"/>
      <x:c r="L34" s="258"/>
      <x:c r="M34" s="258"/>
      <x:c r="N34" s="258"/>
      <x:c r="O34" s="258"/>
      <x:c r="P34" s="258"/>
      <x:c r="Q34" s="258"/>
      <x:c r="R34" s="258"/>
      <x:c r="S34" s="258"/>
      <x:c r="T34" s="258"/>
      <x:c r="U34" s="258"/>
      <x:c r="V34" s="258"/>
      <x:c r="W34" s="258"/>
      <x:c r="X34" s="258"/>
      <x:c r="Y34" s="258"/>
      <x:c r="Z34" s="258"/>
    </x:row>
    <x:row r="35">
      <x:c r="A35" s="258"/>
      <x:c r="B35" s="258"/>
      <x:c r="C35" s="258"/>
      <x:c r="D35" s="258"/>
      <x:c r="E35" s="258"/>
      <x:c r="F35" s="258"/>
      <x:c r="G35" s="258"/>
      <x:c r="H35" s="258"/>
      <x:c r="I35" s="258"/>
      <x:c r="J35" s="258"/>
      <x:c r="K35" s="258"/>
      <x:c r="L35" s="258"/>
      <x:c r="M35" s="258"/>
      <x:c r="N35" s="258"/>
      <x:c r="O35" s="258"/>
      <x:c r="P35" s="258"/>
      <x:c r="Q35" s="258"/>
      <x:c r="R35" s="258"/>
      <x:c r="S35" s="258"/>
      <x:c r="T35" s="258"/>
      <x:c r="U35" s="258"/>
      <x:c r="V35" s="258"/>
      <x:c r="W35" s="258"/>
      <x:c r="X35" s="258"/>
      <x:c r="Y35" s="258"/>
      <x:c r="Z35" s="258"/>
    </x:row>
    <x:row r="36">
      <x:c r="A36" s="258"/>
      <x:c r="B36" s="258"/>
      <x:c r="C36" s="258"/>
      <x:c r="D36" s="258"/>
      <x:c r="E36" s="258"/>
      <x:c r="F36" s="258"/>
      <x:c r="G36" s="258"/>
      <x:c r="H36" s="258"/>
      <x:c r="I36" s="258"/>
      <x:c r="J36" s="258"/>
      <x:c r="K36" s="258"/>
      <x:c r="L36" s="258"/>
      <x:c r="M36" s="258"/>
      <x:c r="N36" s="258"/>
      <x:c r="O36" s="258"/>
      <x:c r="P36" s="258"/>
      <x:c r="Q36" s="258"/>
      <x:c r="R36" s="258"/>
      <x:c r="S36" s="258"/>
      <x:c r="T36" s="258"/>
      <x:c r="U36" s="258"/>
      <x:c r="V36" s="258"/>
      <x:c r="W36" s="258"/>
      <x:c r="X36" s="258"/>
      <x:c r="Y36" s="258"/>
      <x:c r="Z36" s="258"/>
    </x:row>
    <x:row r="37">
      <x:c r="A37" s="258"/>
      <x:c r="B37" s="258"/>
      <x:c r="C37" s="258"/>
      <x:c r="D37" s="258"/>
      <x:c r="E37" s="258"/>
      <x:c r="F37" s="258"/>
      <x:c r="G37" s="258"/>
      <x:c r="H37" s="258"/>
      <x:c r="I37" s="258"/>
      <x:c r="J37" s="258"/>
      <x:c r="K37" s="258"/>
      <x:c r="L37" s="258"/>
      <x:c r="M37" s="258"/>
      <x:c r="N37" s="258"/>
      <x:c r="O37" s="258"/>
      <x:c r="P37" s="258"/>
      <x:c r="Q37" s="258"/>
      <x:c r="R37" s="258"/>
      <x:c r="S37" s="258"/>
      <x:c r="T37" s="258"/>
      <x:c r="U37" s="258"/>
      <x:c r="V37" s="258"/>
      <x:c r="W37" s="258"/>
      <x:c r="X37" s="258"/>
      <x:c r="Y37" s="258"/>
      <x:c r="Z37" s="258"/>
    </x:row>
    <x:row r="38">
      <x:c r="A38" s="258"/>
      <x:c r="B38" s="258"/>
      <x:c r="C38" s="258"/>
      <x:c r="D38" s="258"/>
      <x:c r="E38" s="258"/>
      <x:c r="F38" s="258"/>
      <x:c r="G38" s="258"/>
      <x:c r="H38" s="258"/>
      <x:c r="I38" s="258"/>
      <x:c r="J38" s="258"/>
      <x:c r="K38" s="258"/>
      <x:c r="L38" s="258"/>
      <x:c r="M38" s="258"/>
      <x:c r="N38" s="258"/>
      <x:c r="O38" s="258"/>
      <x:c r="P38" s="258"/>
      <x:c r="Q38" s="258"/>
      <x:c r="R38" s="258"/>
      <x:c r="S38" s="258"/>
      <x:c r="T38" s="258"/>
      <x:c r="U38" s="258"/>
      <x:c r="V38" s="258"/>
      <x:c r="W38" s="258"/>
      <x:c r="X38" s="258"/>
      <x:c r="Y38" s="258"/>
      <x:c r="Z38" s="258"/>
    </x:row>
    <x:row r="39">
      <x:c r="A39" s="258"/>
      <x:c r="B39" s="258"/>
      <x:c r="C39" s="258"/>
      <x:c r="D39" s="258"/>
      <x:c r="E39" s="258"/>
      <x:c r="F39" s="258"/>
      <x:c r="G39" s="258"/>
      <x:c r="H39" s="258"/>
      <x:c r="I39" s="258"/>
      <x:c r="J39" s="258"/>
      <x:c r="K39" s="258"/>
      <x:c r="L39" s="258"/>
      <x:c r="M39" s="258"/>
      <x:c r="N39" s="258"/>
      <x:c r="O39" s="258"/>
      <x:c r="P39" s="258"/>
      <x:c r="Q39" s="258"/>
      <x:c r="R39" s="258"/>
      <x:c r="S39" s="258"/>
      <x:c r="T39" s="258"/>
      <x:c r="U39" s="258"/>
      <x:c r="V39" s="258"/>
      <x:c r="W39" s="258"/>
      <x:c r="X39" s="258"/>
      <x:c r="Y39" s="258"/>
      <x:c r="Z39" s="258"/>
    </x:row>
    <x:row r="40">
      <x:c r="A40" s="258"/>
      <x:c r="B40" s="258"/>
      <x:c r="C40" s="258"/>
      <x:c r="D40" s="258"/>
      <x:c r="E40" s="258"/>
      <x:c r="F40" s="258"/>
      <x:c r="G40" s="258"/>
      <x:c r="H40" s="258"/>
      <x:c r="I40" s="258"/>
      <x:c r="J40" s="258"/>
      <x:c r="K40" s="258"/>
      <x:c r="L40" s="258"/>
      <x:c r="M40" s="258"/>
      <x:c r="N40" s="258"/>
      <x:c r="O40" s="258"/>
      <x:c r="P40" s="258"/>
      <x:c r="Q40" s="258"/>
      <x:c r="R40" s="258"/>
      <x:c r="S40" s="258"/>
      <x:c r="T40" s="258"/>
      <x:c r="U40" s="258"/>
      <x:c r="V40" s="258"/>
      <x:c r="W40" s="258"/>
      <x:c r="X40" s="258"/>
      <x:c r="Y40" s="258"/>
      <x:c r="Z40" s="258"/>
    </x:row>
    <x:row r="41">
      <x:c r="A41" s="258"/>
      <x:c r="B41" s="258"/>
      <x:c r="C41" s="258"/>
      <x:c r="D41" s="258"/>
      <x:c r="E41" s="258"/>
      <x:c r="F41" s="258"/>
      <x:c r="G41" s="258"/>
      <x:c r="H41" s="258"/>
      <x:c r="I41" s="258"/>
      <x:c r="J41" s="258"/>
      <x:c r="K41" s="258"/>
      <x:c r="L41" s="258"/>
      <x:c r="M41" s="258"/>
      <x:c r="N41" s="258"/>
      <x:c r="O41" s="258"/>
      <x:c r="P41" s="258"/>
      <x:c r="Q41" s="258"/>
      <x:c r="R41" s="258"/>
      <x:c r="S41" s="258"/>
      <x:c r="T41" s="258"/>
      <x:c r="U41" s="258"/>
      <x:c r="V41" s="258"/>
      <x:c r="W41" s="258"/>
      <x:c r="X41" s="258"/>
      <x:c r="Y41" s="258"/>
      <x:c r="Z41" s="258"/>
    </x:row>
    <x:row r="42">
      <x:c r="A42" s="258"/>
      <x:c r="B42" s="258"/>
      <x:c r="C42" s="258"/>
      <x:c r="D42" s="258"/>
      <x:c r="E42" s="258"/>
      <x:c r="F42" s="258"/>
      <x:c r="G42" s="258"/>
      <x:c r="H42" s="258"/>
      <x:c r="I42" s="258"/>
      <x:c r="J42" s="258"/>
      <x:c r="K42" s="258"/>
      <x:c r="L42" s="258"/>
      <x:c r="M42" s="258"/>
      <x:c r="N42" s="258"/>
      <x:c r="O42" s="258"/>
      <x:c r="P42" s="258"/>
      <x:c r="Q42" s="258"/>
      <x:c r="R42" s="258"/>
      <x:c r="S42" s="258"/>
      <x:c r="T42" s="258"/>
      <x:c r="U42" s="258"/>
      <x:c r="V42" s="258"/>
      <x:c r="W42" s="258"/>
      <x:c r="X42" s="258"/>
      <x:c r="Y42" s="258"/>
      <x:c r="Z42" s="258"/>
    </x:row>
    <x:row r="43">
      <x:c r="A43" s="258"/>
      <x:c r="B43" s="258"/>
      <x:c r="C43" s="258"/>
      <x:c r="D43" s="258"/>
      <x:c r="E43" s="258"/>
      <x:c r="F43" s="258"/>
      <x:c r="G43" s="258"/>
      <x:c r="H43" s="258"/>
      <x:c r="I43" s="258"/>
      <x:c r="J43" s="258"/>
      <x:c r="K43" s="258"/>
      <x:c r="L43" s="258"/>
      <x:c r="M43" s="258"/>
      <x:c r="N43" s="258"/>
      <x:c r="O43" s="258"/>
      <x:c r="P43" s="258"/>
      <x:c r="Q43" s="258"/>
      <x:c r="R43" s="258"/>
      <x:c r="S43" s="258"/>
      <x:c r="T43" s="258"/>
      <x:c r="U43" s="258"/>
      <x:c r="V43" s="258"/>
      <x:c r="W43" s="258"/>
      <x:c r="X43" s="258"/>
      <x:c r="Y43" s="258"/>
      <x:c r="Z43" s="258"/>
    </x:row>
    <x:row r="44">
      <x:c r="A44" s="258"/>
      <x:c r="B44" s="258"/>
      <x:c r="C44" s="258"/>
      <x:c r="D44" s="258"/>
      <x:c r="E44" s="258"/>
      <x:c r="F44" s="258"/>
      <x:c r="G44" s="258"/>
      <x:c r="H44" s="258"/>
      <x:c r="I44" s="258"/>
      <x:c r="J44" s="258"/>
      <x:c r="K44" s="258"/>
      <x:c r="L44" s="258"/>
      <x:c r="M44" s="258"/>
      <x:c r="N44" s="258"/>
      <x:c r="O44" s="258"/>
      <x:c r="P44" s="258"/>
      <x:c r="Q44" s="258"/>
      <x:c r="R44" s="258"/>
      <x:c r="S44" s="258"/>
      <x:c r="T44" s="258"/>
      <x:c r="U44" s="258"/>
      <x:c r="V44" s="258"/>
      <x:c r="W44" s="258"/>
      <x:c r="X44" s="258"/>
      <x:c r="Y44" s="258"/>
      <x:c r="Z44" s="258"/>
    </x:row>
    <x:row r="45">
      <x:c r="A45" s="258"/>
      <x:c r="B45" s="258"/>
      <x:c r="C45" s="258"/>
      <x:c r="D45" s="258"/>
      <x:c r="E45" s="258"/>
      <x:c r="F45" s="258"/>
      <x:c r="G45" s="258"/>
      <x:c r="H45" s="258"/>
      <x:c r="I45" s="258"/>
      <x:c r="J45" s="258"/>
      <x:c r="K45" s="258"/>
      <x:c r="L45" s="258"/>
      <x:c r="M45" s="258"/>
      <x:c r="N45" s="258"/>
      <x:c r="O45" s="258"/>
      <x:c r="P45" s="258"/>
      <x:c r="Q45" s="258"/>
      <x:c r="R45" s="258"/>
      <x:c r="S45" s="258"/>
      <x:c r="T45" s="258"/>
      <x:c r="U45" s="258"/>
      <x:c r="V45" s="258"/>
      <x:c r="W45" s="258"/>
      <x:c r="X45" s="258"/>
      <x:c r="Y45" s="258"/>
      <x:c r="Z45" s="258"/>
    </x:row>
    <x:row r="46">
      <x:c r="A46" s="258"/>
      <x:c r="B46" s="258"/>
      <x:c r="C46" s="258"/>
      <x:c r="D46" s="258"/>
      <x:c r="E46" s="258"/>
      <x:c r="F46" s="258"/>
      <x:c r="G46" s="258"/>
      <x:c r="H46" s="258"/>
      <x:c r="I46" s="258"/>
      <x:c r="J46" s="258"/>
      <x:c r="K46" s="258"/>
      <x:c r="L46" s="258"/>
      <x:c r="M46" s="258"/>
      <x:c r="N46" s="258"/>
      <x:c r="O46" s="258"/>
      <x:c r="P46" s="258"/>
      <x:c r="Q46" s="258"/>
      <x:c r="R46" s="258"/>
      <x:c r="S46" s="258"/>
      <x:c r="T46" s="258"/>
      <x:c r="U46" s="258"/>
      <x:c r="V46" s="258"/>
      <x:c r="W46" s="258"/>
      <x:c r="X46" s="258"/>
      <x:c r="Y46" s="258"/>
      <x:c r="Z46" s="258"/>
    </x:row>
    <x:row r="47">
      <x:c r="A47" s="258"/>
      <x:c r="B47" s="258"/>
      <x:c r="C47" s="258"/>
      <x:c r="D47" s="258"/>
      <x:c r="E47" s="258"/>
      <x:c r="F47" s="258"/>
      <x:c r="G47" s="258"/>
      <x:c r="H47" s="258"/>
      <x:c r="I47" s="258"/>
      <x:c r="J47" s="258"/>
      <x:c r="K47" s="258"/>
      <x:c r="L47" s="258"/>
      <x:c r="M47" s="258"/>
      <x:c r="N47" s="258"/>
      <x:c r="O47" s="258"/>
      <x:c r="P47" s="258"/>
      <x:c r="Q47" s="258"/>
      <x:c r="R47" s="258"/>
      <x:c r="S47" s="258"/>
      <x:c r="T47" s="258"/>
      <x:c r="U47" s="258"/>
      <x:c r="V47" s="258"/>
      <x:c r="W47" s="258"/>
      <x:c r="X47" s="258"/>
      <x:c r="Y47" s="258"/>
      <x:c r="Z47" s="258"/>
    </x:row>
    <x:row r="48">
      <x:c r="A48" s="258"/>
      <x:c r="B48" s="258"/>
      <x:c r="C48" s="258"/>
      <x:c r="D48" s="258"/>
      <x:c r="E48" s="258"/>
      <x:c r="F48" s="258"/>
      <x:c r="G48" s="258"/>
      <x:c r="H48" s="258"/>
      <x:c r="I48" s="258"/>
      <x:c r="J48" s="258"/>
      <x:c r="K48" s="258"/>
      <x:c r="L48" s="258"/>
      <x:c r="M48" s="258"/>
      <x:c r="N48" s="258"/>
      <x:c r="O48" s="258"/>
      <x:c r="P48" s="258"/>
      <x:c r="Q48" s="258"/>
      <x:c r="R48" s="258"/>
      <x:c r="S48" s="258"/>
      <x:c r="T48" s="258"/>
      <x:c r="U48" s="258"/>
      <x:c r="V48" s="258"/>
      <x:c r="W48" s="258"/>
      <x:c r="X48" s="258"/>
      <x:c r="Y48" s="258"/>
      <x:c r="Z48" s="258"/>
    </x:row>
    <x:row r="49">
      <x:c r="A49" s="258"/>
      <x:c r="B49" s="258"/>
      <x:c r="C49" s="258"/>
      <x:c r="D49" s="258"/>
      <x:c r="E49" s="258"/>
      <x:c r="F49" s="258"/>
      <x:c r="G49" s="258"/>
      <x:c r="H49" s="258"/>
      <x:c r="I49" s="258"/>
      <x:c r="J49" s="258"/>
      <x:c r="K49" s="258"/>
      <x:c r="L49" s="258"/>
      <x:c r="M49" s="258"/>
      <x:c r="N49" s="258"/>
      <x:c r="O49" s="258"/>
      <x:c r="P49" s="258"/>
      <x:c r="Q49" s="258"/>
      <x:c r="R49" s="258"/>
      <x:c r="S49" s="258"/>
      <x:c r="T49" s="258"/>
      <x:c r="U49" s="258"/>
      <x:c r="V49" s="258"/>
      <x:c r="W49" s="258"/>
      <x:c r="X49" s="258"/>
      <x:c r="Y49" s="258"/>
      <x:c r="Z49" s="258"/>
    </x:row>
    <x:row r="50">
      <x:c r="A50" s="258"/>
      <x:c r="B50" s="258"/>
      <x:c r="C50" s="258"/>
      <x:c r="D50" s="258"/>
      <x:c r="E50" s="258"/>
      <x:c r="F50" s="258"/>
      <x:c r="G50" s="258"/>
      <x:c r="H50" s="258"/>
      <x:c r="I50" s="258"/>
      <x:c r="J50" s="258"/>
      <x:c r="K50" s="258"/>
      <x:c r="L50" s="258"/>
      <x:c r="M50" s="258"/>
      <x:c r="N50" s="258"/>
      <x:c r="O50" s="258"/>
      <x:c r="P50" s="258"/>
      <x:c r="Q50" s="258"/>
      <x:c r="R50" s="258"/>
      <x:c r="S50" s="258"/>
      <x:c r="T50" s="258"/>
      <x:c r="U50" s="258"/>
      <x:c r="V50" s="258"/>
      <x:c r="W50" s="258"/>
      <x:c r="X50" s="258"/>
      <x:c r="Y50" s="258"/>
      <x:c r="Z50" s="258"/>
    </x:row>
    <x:row r="51">
      <x:c r="A51" s="258"/>
      <x:c r="B51" s="258"/>
      <x:c r="C51" s="258"/>
      <x:c r="D51" s="258"/>
      <x:c r="E51" s="258"/>
      <x:c r="F51" s="258"/>
      <x:c r="G51" s="258"/>
      <x:c r="H51" s="258"/>
      <x:c r="I51" s="258"/>
      <x:c r="J51" s="258"/>
      <x:c r="K51" s="258"/>
      <x:c r="L51" s="258"/>
      <x:c r="M51" s="258"/>
      <x:c r="N51" s="258"/>
      <x:c r="O51" s="258"/>
      <x:c r="P51" s="258"/>
      <x:c r="Q51" s="258"/>
      <x:c r="R51" s="258"/>
      <x:c r="S51" s="258"/>
      <x:c r="T51" s="258"/>
      <x:c r="U51" s="258"/>
      <x:c r="V51" s="258"/>
      <x:c r="W51" s="258"/>
      <x:c r="X51" s="258"/>
      <x:c r="Y51" s="258"/>
      <x:c r="Z51" s="258"/>
    </x:row>
    <x:row r="52">
      <x:c r="A52" s="258"/>
      <x:c r="B52" s="258"/>
      <x:c r="C52" s="258"/>
      <x:c r="D52" s="258"/>
      <x:c r="E52" s="258"/>
      <x:c r="F52" s="258"/>
      <x:c r="G52" s="258"/>
      <x:c r="H52" s="258"/>
      <x:c r="I52" s="258"/>
      <x:c r="J52" s="258"/>
      <x:c r="K52" s="258"/>
      <x:c r="L52" s="258"/>
      <x:c r="M52" s="258"/>
      <x:c r="N52" s="258"/>
      <x:c r="O52" s="258"/>
      <x:c r="P52" s="258"/>
      <x:c r="Q52" s="258"/>
      <x:c r="R52" s="258"/>
      <x:c r="S52" s="258"/>
      <x:c r="T52" s="258"/>
      <x:c r="U52" s="258"/>
      <x:c r="V52" s="258"/>
      <x:c r="W52" s="258"/>
      <x:c r="X52" s="258"/>
      <x:c r="Y52" s="258"/>
      <x:c r="Z52" s="258"/>
    </x:row>
    <x:row r="53">
      <x:c r="A53" s="258"/>
      <x:c r="B53" s="258"/>
      <x:c r="C53" s="258"/>
      <x:c r="D53" s="258"/>
      <x:c r="E53" s="258"/>
      <x:c r="F53" s="258"/>
      <x:c r="G53" s="258"/>
      <x:c r="H53" s="258"/>
      <x:c r="I53" s="258"/>
      <x:c r="J53" s="258"/>
      <x:c r="K53" s="258"/>
      <x:c r="L53" s="258"/>
      <x:c r="M53" s="258"/>
      <x:c r="N53" s="258"/>
      <x:c r="O53" s="258"/>
      <x:c r="P53" s="258"/>
      <x:c r="Q53" s="258"/>
      <x:c r="R53" s="258"/>
      <x:c r="S53" s="258"/>
      <x:c r="T53" s="258"/>
      <x:c r="U53" s="258"/>
      <x:c r="V53" s="258"/>
      <x:c r="W53" s="258"/>
      <x:c r="X53" s="258"/>
      <x:c r="Y53" s="258"/>
      <x:c r="Z53" s="258"/>
    </x:row>
    <x:row r="54">
      <x:c r="A54" s="258"/>
      <x:c r="B54" s="258"/>
      <x:c r="C54" s="258"/>
      <x:c r="D54" s="258"/>
      <x:c r="E54" s="258"/>
      <x:c r="F54" s="258"/>
      <x:c r="G54" s="258"/>
      <x:c r="H54" s="258"/>
      <x:c r="I54" s="258"/>
      <x:c r="J54" s="258"/>
      <x:c r="K54" s="258"/>
      <x:c r="L54" s="258"/>
      <x:c r="M54" s="258"/>
      <x:c r="N54" s="258"/>
      <x:c r="O54" s="258"/>
      <x:c r="P54" s="258"/>
      <x:c r="Q54" s="258"/>
      <x:c r="R54" s="258"/>
      <x:c r="S54" s="258"/>
      <x:c r="T54" s="258"/>
      <x:c r="U54" s="258"/>
      <x:c r="V54" s="258"/>
      <x:c r="W54" s="258"/>
      <x:c r="X54" s="258"/>
      <x:c r="Y54" s="258"/>
      <x:c r="Z54" s="258"/>
    </x:row>
    <x:row r="55">
      <x:c r="A55" s="258"/>
      <x:c r="B55" s="258"/>
      <x:c r="C55" s="258"/>
      <x:c r="D55" s="258"/>
      <x:c r="E55" s="258"/>
      <x:c r="F55" s="258"/>
      <x:c r="G55" s="258"/>
      <x:c r="H55" s="258"/>
      <x:c r="I55" s="258"/>
      <x:c r="J55" s="258"/>
      <x:c r="K55" s="258"/>
      <x:c r="L55" s="258"/>
      <x:c r="M55" s="258"/>
      <x:c r="N55" s="258"/>
      <x:c r="O55" s="258"/>
      <x:c r="P55" s="258"/>
      <x:c r="Q55" s="258"/>
      <x:c r="R55" s="258"/>
      <x:c r="S55" s="258"/>
      <x:c r="T55" s="258"/>
      <x:c r="U55" s="258"/>
      <x:c r="V55" s="258"/>
      <x:c r="W55" s="258"/>
      <x:c r="X55" s="258"/>
      <x:c r="Y55" s="258"/>
      <x:c r="Z55" s="258"/>
    </x:row>
    <x:row r="56">
      <x:c r="A56" s="258"/>
      <x:c r="B56" s="258"/>
      <x:c r="C56" s="258"/>
      <x:c r="D56" s="258"/>
      <x:c r="E56" s="258"/>
      <x:c r="F56" s="258"/>
      <x:c r="G56" s="258"/>
      <x:c r="H56" s="258"/>
      <x:c r="I56" s="258"/>
      <x:c r="J56" s="258"/>
      <x:c r="K56" s="258"/>
      <x:c r="L56" s="258"/>
      <x:c r="M56" s="258"/>
      <x:c r="N56" s="258"/>
      <x:c r="O56" s="258"/>
      <x:c r="P56" s="258"/>
      <x:c r="Q56" s="258"/>
      <x:c r="R56" s="258"/>
      <x:c r="S56" s="258"/>
      <x:c r="T56" s="258"/>
      <x:c r="U56" s="258"/>
      <x:c r="V56" s="258"/>
      <x:c r="W56" s="258"/>
      <x:c r="X56" s="258"/>
      <x:c r="Y56" s="258"/>
      <x:c r="Z56" s="258"/>
    </x:row>
    <x:row r="57">
      <x:c r="A57" s="258"/>
      <x:c r="B57" s="258"/>
      <x:c r="C57" s="258"/>
      <x:c r="D57" s="258"/>
      <x:c r="E57" s="258"/>
      <x:c r="F57" s="258"/>
      <x:c r="G57" s="258"/>
      <x:c r="H57" s="258"/>
      <x:c r="I57" s="258"/>
      <x:c r="J57" s="258"/>
      <x:c r="K57" s="258"/>
      <x:c r="L57" s="258"/>
      <x:c r="M57" s="258"/>
      <x:c r="N57" s="258"/>
      <x:c r="O57" s="258"/>
      <x:c r="P57" s="258"/>
      <x:c r="Q57" s="258"/>
      <x:c r="R57" s="258"/>
      <x:c r="S57" s="258"/>
      <x:c r="T57" s="258"/>
      <x:c r="U57" s="258"/>
      <x:c r="V57" s="258"/>
      <x:c r="W57" s="258"/>
      <x:c r="X57" s="258"/>
      <x:c r="Y57" s="258"/>
      <x:c r="Z57" s="258"/>
    </x:row>
    <x:row r="58">
      <x:c r="A58" s="258"/>
      <x:c r="B58" s="258"/>
      <x:c r="C58" s="258"/>
      <x:c r="D58" s="258"/>
      <x:c r="E58" s="258"/>
      <x:c r="F58" s="258"/>
      <x:c r="G58" s="258"/>
      <x:c r="H58" s="258"/>
      <x:c r="I58" s="258"/>
      <x:c r="J58" s="258"/>
      <x:c r="K58" s="258"/>
      <x:c r="L58" s="258"/>
      <x:c r="M58" s="258"/>
      <x:c r="N58" s="258"/>
      <x:c r="O58" s="258"/>
      <x:c r="P58" s="258"/>
      <x:c r="Q58" s="258"/>
      <x:c r="R58" s="258"/>
      <x:c r="S58" s="258"/>
      <x:c r="T58" s="258"/>
      <x:c r="U58" s="258"/>
      <x:c r="V58" s="258"/>
      <x:c r="W58" s="258"/>
      <x:c r="X58" s="258"/>
      <x:c r="Y58" s="258"/>
      <x:c r="Z58" s="258"/>
    </x:row>
    <x:row r="59">
      <x:c r="A59" s="258"/>
      <x:c r="B59" s="258"/>
      <x:c r="C59" s="258"/>
      <x:c r="D59" s="258"/>
      <x:c r="E59" s="258"/>
      <x:c r="F59" s="258"/>
      <x:c r="G59" s="258"/>
      <x:c r="H59" s="258"/>
      <x:c r="I59" s="258"/>
      <x:c r="J59" s="258"/>
      <x:c r="K59" s="258"/>
      <x:c r="L59" s="258"/>
      <x:c r="M59" s="258"/>
      <x:c r="N59" s="258"/>
      <x:c r="O59" s="258"/>
      <x:c r="P59" s="258"/>
      <x:c r="Q59" s="258"/>
      <x:c r="R59" s="258"/>
      <x:c r="S59" s="258"/>
      <x:c r="T59" s="258"/>
      <x:c r="U59" s="258"/>
      <x:c r="V59" s="258"/>
      <x:c r="W59" s="258"/>
      <x:c r="X59" s="258"/>
      <x:c r="Y59" s="258"/>
      <x:c r="Z59" s="258"/>
    </x:row>
    <x:row r="60">
      <x:c r="A60" s="258"/>
      <x:c r="B60" s="258"/>
      <x:c r="C60" s="258"/>
      <x:c r="D60" s="258"/>
      <x:c r="E60" s="258"/>
      <x:c r="F60" s="258"/>
      <x:c r="G60" s="258"/>
      <x:c r="H60" s="258"/>
      <x:c r="I60" s="258"/>
      <x:c r="J60" s="258"/>
      <x:c r="K60" s="258"/>
      <x:c r="L60" s="258"/>
      <x:c r="M60" s="258"/>
      <x:c r="N60" s="258"/>
      <x:c r="O60" s="258"/>
      <x:c r="P60" s="258"/>
      <x:c r="Q60" s="258"/>
      <x:c r="R60" s="258"/>
      <x:c r="S60" s="258"/>
      <x:c r="T60" s="258"/>
      <x:c r="U60" s="258"/>
      <x:c r="V60" s="258"/>
      <x:c r="W60" s="258"/>
      <x:c r="X60" s="258"/>
      <x:c r="Y60" s="258"/>
      <x:c r="Z60" s="258"/>
    </x:row>
    <x:row r="61">
      <x:c r="A61" s="258"/>
      <x:c r="B61" s="258"/>
      <x:c r="C61" s="258"/>
      <x:c r="D61" s="258"/>
      <x:c r="E61" s="258"/>
      <x:c r="F61" s="258"/>
      <x:c r="G61" s="258"/>
      <x:c r="H61" s="258"/>
      <x:c r="I61" s="258"/>
      <x:c r="J61" s="258"/>
      <x:c r="K61" s="258"/>
      <x:c r="L61" s="258"/>
      <x:c r="M61" s="258"/>
      <x:c r="N61" s="258"/>
      <x:c r="O61" s="258"/>
      <x:c r="P61" s="258"/>
      <x:c r="Q61" s="258"/>
      <x:c r="R61" s="258"/>
      <x:c r="S61" s="258"/>
      <x:c r="T61" s="258"/>
      <x:c r="U61" s="258"/>
      <x:c r="V61" s="258"/>
      <x:c r="W61" s="258"/>
      <x:c r="X61" s="258"/>
      <x:c r="Y61" s="258"/>
      <x:c r="Z61" s="258"/>
    </x:row>
    <x:row r="62">
      <x:c r="A62" s="258"/>
      <x:c r="B62" s="258"/>
      <x:c r="C62" s="258"/>
      <x:c r="D62" s="258"/>
      <x:c r="E62" s="258"/>
      <x:c r="F62" s="258"/>
      <x:c r="G62" s="258"/>
      <x:c r="H62" s="258"/>
      <x:c r="I62" s="258"/>
      <x:c r="J62" s="258"/>
      <x:c r="K62" s="258"/>
      <x:c r="L62" s="258"/>
      <x:c r="M62" s="258"/>
      <x:c r="N62" s="258"/>
      <x:c r="O62" s="258"/>
      <x:c r="P62" s="258"/>
      <x:c r="Q62" s="258"/>
      <x:c r="R62" s="258"/>
      <x:c r="S62" s="258"/>
      <x:c r="T62" s="258"/>
      <x:c r="U62" s="258"/>
      <x:c r="V62" s="258"/>
      <x:c r="W62" s="258"/>
      <x:c r="X62" s="258"/>
      <x:c r="Y62" s="258"/>
      <x:c r="Z62" s="258"/>
    </x:row>
    <x:row r="63">
      <x:c r="A63" s="258"/>
      <x:c r="B63" s="258"/>
      <x:c r="C63" s="258"/>
      <x:c r="D63" s="258"/>
      <x:c r="E63" s="258"/>
      <x:c r="F63" s="258"/>
      <x:c r="G63" s="258"/>
      <x:c r="H63" s="258"/>
      <x:c r="I63" s="258"/>
      <x:c r="J63" s="258"/>
      <x:c r="K63" s="258"/>
      <x:c r="L63" s="258"/>
      <x:c r="M63" s="258"/>
      <x:c r="N63" s="258"/>
      <x:c r="O63" s="258"/>
      <x:c r="P63" s="258"/>
      <x:c r="Q63" s="258"/>
      <x:c r="R63" s="258"/>
      <x:c r="S63" s="258"/>
      <x:c r="T63" s="258"/>
      <x:c r="U63" s="258"/>
      <x:c r="V63" s="258"/>
      <x:c r="W63" s="258"/>
      <x:c r="X63" s="258"/>
      <x:c r="Y63" s="258"/>
      <x:c r="Z63" s="258"/>
    </x:row>
    <x:row r="64">
      <x:c r="A64" s="258"/>
      <x:c r="B64" s="258"/>
      <x:c r="C64" s="258"/>
      <x:c r="D64" s="258"/>
      <x:c r="E64" s="258"/>
      <x:c r="F64" s="258"/>
      <x:c r="G64" s="258"/>
      <x:c r="H64" s="258"/>
      <x:c r="I64" s="258"/>
      <x:c r="J64" s="258"/>
      <x:c r="K64" s="258"/>
      <x:c r="L64" s="258"/>
      <x:c r="M64" s="258"/>
      <x:c r="N64" s="258"/>
      <x:c r="O64" s="258"/>
      <x:c r="P64" s="258"/>
      <x:c r="Q64" s="258"/>
      <x:c r="R64" s="258"/>
      <x:c r="S64" s="258"/>
      <x:c r="T64" s="258"/>
      <x:c r="U64" s="258"/>
      <x:c r="V64" s="258"/>
      <x:c r="W64" s="258"/>
      <x:c r="X64" s="258"/>
      <x:c r="Y64" s="258"/>
      <x:c r="Z64" s="258"/>
    </x:row>
    <x:row r="65">
      <x:c r="A65" s="258"/>
      <x:c r="B65" s="258"/>
      <x:c r="C65" s="258"/>
      <x:c r="D65" s="258"/>
      <x:c r="E65" s="258"/>
      <x:c r="F65" s="258"/>
      <x:c r="G65" s="258"/>
      <x:c r="H65" s="258"/>
      <x:c r="I65" s="258"/>
      <x:c r="J65" s="258"/>
      <x:c r="K65" s="258"/>
      <x:c r="L65" s="258"/>
      <x:c r="M65" s="258"/>
      <x:c r="N65" s="258"/>
      <x:c r="O65" s="258"/>
      <x:c r="P65" s="258"/>
      <x:c r="Q65" s="258"/>
      <x:c r="R65" s="258"/>
      <x:c r="S65" s="258"/>
      <x:c r="T65" s="258"/>
      <x:c r="U65" s="258"/>
      <x:c r="V65" s="258"/>
      <x:c r="W65" s="258"/>
      <x:c r="X65" s="258"/>
      <x:c r="Y65" s="258"/>
      <x:c r="Z65" s="258"/>
    </x:row>
    <x:row r="66">
      <x:c r="A66" s="258"/>
      <x:c r="B66" s="258"/>
      <x:c r="C66" s="258"/>
      <x:c r="D66" s="258"/>
      <x:c r="E66" s="258"/>
      <x:c r="F66" s="258"/>
      <x:c r="G66" s="258"/>
      <x:c r="H66" s="258"/>
      <x:c r="I66" s="258"/>
      <x:c r="J66" s="258"/>
      <x:c r="K66" s="258"/>
      <x:c r="L66" s="258"/>
      <x:c r="M66" s="258"/>
      <x:c r="N66" s="258"/>
      <x:c r="O66" s="258"/>
      <x:c r="P66" s="258"/>
      <x:c r="Q66" s="258"/>
      <x:c r="R66" s="258"/>
      <x:c r="S66" s="258"/>
      <x:c r="T66" s="258"/>
      <x:c r="U66" s="258"/>
      <x:c r="V66" s="258"/>
      <x:c r="W66" s="258"/>
      <x:c r="X66" s="258"/>
      <x:c r="Y66" s="258"/>
      <x:c r="Z66" s="258"/>
    </x:row>
    <x:row r="67">
      <x:c r="A67" s="258"/>
      <x:c r="B67" s="258"/>
      <x:c r="C67" s="258"/>
      <x:c r="D67" s="258"/>
      <x:c r="E67" s="258"/>
      <x:c r="F67" s="258"/>
      <x:c r="G67" s="258"/>
      <x:c r="H67" s="258"/>
      <x:c r="I67" s="258"/>
      <x:c r="J67" s="258"/>
      <x:c r="K67" s="258"/>
      <x:c r="L67" s="258"/>
      <x:c r="M67" s="258"/>
      <x:c r="N67" s="258"/>
      <x:c r="O67" s="258"/>
      <x:c r="P67" s="258"/>
      <x:c r="Q67" s="258"/>
      <x:c r="R67" s="258"/>
      <x:c r="S67" s="258"/>
      <x:c r="T67" s="258"/>
      <x:c r="U67" s="258"/>
      <x:c r="V67" s="258"/>
      <x:c r="W67" s="258"/>
      <x:c r="X67" s="258"/>
      <x:c r="Y67" s="258"/>
      <x:c r="Z67" s="258"/>
    </x:row>
    <x:row r="68">
      <x:c r="A68" s="258"/>
      <x:c r="B68" s="258"/>
      <x:c r="C68" s="258"/>
      <x:c r="D68" s="258"/>
      <x:c r="E68" s="258"/>
      <x:c r="F68" s="258"/>
      <x:c r="G68" s="258"/>
      <x:c r="H68" s="258"/>
      <x:c r="I68" s="258"/>
      <x:c r="J68" s="258"/>
      <x:c r="K68" s="258"/>
      <x:c r="L68" s="258"/>
      <x:c r="M68" s="258"/>
      <x:c r="N68" s="258"/>
      <x:c r="O68" s="258"/>
      <x:c r="P68" s="258"/>
      <x:c r="Q68" s="258"/>
      <x:c r="R68" s="258"/>
      <x:c r="S68" s="258"/>
      <x:c r="T68" s="258"/>
      <x:c r="U68" s="258"/>
      <x:c r="V68" s="258"/>
      <x:c r="W68" s="258"/>
      <x:c r="X68" s="258"/>
      <x:c r="Y68" s="258"/>
      <x:c r="Z68" s="258"/>
    </x:row>
    <x:row r="69">
      <x:c r="A69" s="258"/>
      <x:c r="B69" s="258"/>
      <x:c r="C69" s="258"/>
      <x:c r="D69" s="258"/>
      <x:c r="E69" s="258"/>
      <x:c r="F69" s="258"/>
      <x:c r="G69" s="258"/>
      <x:c r="H69" s="258"/>
      <x:c r="I69" s="258"/>
      <x:c r="J69" s="258"/>
      <x:c r="K69" s="258"/>
      <x:c r="L69" s="258"/>
      <x:c r="M69" s="258"/>
      <x:c r="N69" s="258"/>
      <x:c r="O69" s="258"/>
      <x:c r="P69" s="258"/>
      <x:c r="Q69" s="258"/>
      <x:c r="R69" s="258"/>
      <x:c r="S69" s="258"/>
      <x:c r="T69" s="258"/>
      <x:c r="U69" s="258"/>
      <x:c r="V69" s="258"/>
      <x:c r="W69" s="258"/>
      <x:c r="X69" s="258"/>
      <x:c r="Y69" s="258"/>
      <x:c r="Z69" s="258"/>
    </x:row>
    <x:row r="70">
      <x:c r="A70" s="258"/>
      <x:c r="B70" s="258"/>
      <x:c r="C70" s="258"/>
      <x:c r="D70" s="258"/>
      <x:c r="E70" s="258"/>
      <x:c r="F70" s="258"/>
      <x:c r="G70" s="258"/>
      <x:c r="H70" s="258"/>
      <x:c r="I70" s="258"/>
      <x:c r="J70" s="258"/>
      <x:c r="K70" s="258"/>
      <x:c r="L70" s="258"/>
      <x:c r="M70" s="258"/>
      <x:c r="N70" s="258"/>
      <x:c r="O70" s="258"/>
      <x:c r="P70" s="258"/>
      <x:c r="Q70" s="258"/>
      <x:c r="R70" s="258"/>
      <x:c r="S70" s="258"/>
      <x:c r="T70" s="258"/>
      <x:c r="U70" s="258"/>
      <x:c r="V70" s="258"/>
      <x:c r="W70" s="258"/>
      <x:c r="X70" s="258"/>
      <x:c r="Y70" s="258"/>
      <x:c r="Z70" s="258"/>
    </x:row>
    <x:row r="71">
      <x:c r="A71" s="258"/>
      <x:c r="B71" s="258"/>
      <x:c r="C71" s="258"/>
      <x:c r="D71" s="258"/>
      <x:c r="E71" s="258"/>
      <x:c r="F71" s="258"/>
      <x:c r="G71" s="258"/>
      <x:c r="H71" s="258"/>
      <x:c r="I71" s="258"/>
      <x:c r="J71" s="258"/>
      <x:c r="K71" s="258"/>
      <x:c r="L71" s="258"/>
      <x:c r="M71" s="258"/>
      <x:c r="N71" s="258"/>
      <x:c r="O71" s="258"/>
      <x:c r="P71" s="258"/>
      <x:c r="Q71" s="258"/>
      <x:c r="R71" s="258"/>
      <x:c r="S71" s="258"/>
      <x:c r="T71" s="258"/>
      <x:c r="U71" s="258"/>
      <x:c r="V71" s="258"/>
      <x:c r="W71" s="258"/>
      <x:c r="X71" s="258"/>
      <x:c r="Y71" s="258"/>
      <x:c r="Z71" s="258"/>
    </x:row>
    <x:row r="72">
      <x:c r="A72" s="258"/>
      <x:c r="B72" s="258"/>
      <x:c r="C72" s="258"/>
      <x:c r="D72" s="258"/>
      <x:c r="E72" s="258"/>
      <x:c r="F72" s="258"/>
      <x:c r="G72" s="258"/>
      <x:c r="H72" s="258"/>
      <x:c r="I72" s="258"/>
      <x:c r="J72" s="258"/>
      <x:c r="K72" s="258"/>
      <x:c r="L72" s="258"/>
      <x:c r="M72" s="258"/>
      <x:c r="N72" s="258"/>
      <x:c r="O72" s="258"/>
      <x:c r="P72" s="258"/>
      <x:c r="Q72" s="258"/>
      <x:c r="R72" s="258"/>
      <x:c r="S72" s="258"/>
      <x:c r="T72" s="258"/>
      <x:c r="U72" s="258"/>
      <x:c r="V72" s="258"/>
      <x:c r="W72" s="258"/>
      <x:c r="X72" s="258"/>
      <x:c r="Y72" s="258"/>
      <x:c r="Z72" s="258"/>
    </x:row>
    <x:row r="73">
      <x:c r="A73" s="258"/>
      <x:c r="B73" s="258"/>
      <x:c r="C73" s="258"/>
      <x:c r="D73" s="258"/>
      <x:c r="E73" s="258"/>
      <x:c r="F73" s="258"/>
      <x:c r="G73" s="258"/>
      <x:c r="H73" s="258"/>
      <x:c r="I73" s="258"/>
      <x:c r="J73" s="258"/>
      <x:c r="K73" s="258"/>
      <x:c r="L73" s="258"/>
      <x:c r="M73" s="258"/>
      <x:c r="N73" s="258"/>
      <x:c r="O73" s="258"/>
      <x:c r="P73" s="258"/>
      <x:c r="Q73" s="258"/>
      <x:c r="R73" s="258"/>
      <x:c r="S73" s="258"/>
      <x:c r="T73" s="258"/>
      <x:c r="U73" s="258"/>
      <x:c r="V73" s="258"/>
      <x:c r="W73" s="258"/>
      <x:c r="X73" s="258"/>
      <x:c r="Y73" s="258"/>
      <x:c r="Z73" s="258"/>
    </x:row>
    <x:row r="74">
      <x:c r="A74" s="258"/>
      <x:c r="B74" s="258"/>
      <x:c r="C74" s="258"/>
      <x:c r="D74" s="258"/>
      <x:c r="E74" s="258"/>
      <x:c r="F74" s="258"/>
      <x:c r="G74" s="258"/>
      <x:c r="H74" s="258"/>
      <x:c r="I74" s="258"/>
      <x:c r="J74" s="258"/>
      <x:c r="K74" s="258"/>
      <x:c r="L74" s="258"/>
      <x:c r="M74" s="258"/>
      <x:c r="N74" s="258"/>
      <x:c r="O74" s="258"/>
      <x:c r="P74" s="258"/>
      <x:c r="Q74" s="258"/>
      <x:c r="R74" s="258"/>
      <x:c r="S74" s="258"/>
      <x:c r="T74" s="258"/>
      <x:c r="U74" s="258"/>
      <x:c r="V74" s="258"/>
      <x:c r="W74" s="258"/>
      <x:c r="X74" s="258"/>
      <x:c r="Y74" s="258"/>
      <x:c r="Z74" s="258"/>
    </x:row>
    <x:row r="75">
      <x:c r="A75" s="258"/>
      <x:c r="B75" s="258"/>
      <x:c r="C75" s="258"/>
      <x:c r="D75" s="258"/>
      <x:c r="E75" s="258"/>
      <x:c r="F75" s="258"/>
      <x:c r="G75" s="258"/>
      <x:c r="H75" s="258"/>
      <x:c r="I75" s="258"/>
      <x:c r="J75" s="258"/>
      <x:c r="K75" s="258"/>
      <x:c r="L75" s="258"/>
      <x:c r="M75" s="258"/>
      <x:c r="N75" s="258"/>
      <x:c r="O75" s="258"/>
      <x:c r="P75" s="258"/>
      <x:c r="Q75" s="258"/>
      <x:c r="R75" s="258"/>
      <x:c r="S75" s="258"/>
      <x:c r="T75" s="258"/>
      <x:c r="U75" s="258"/>
      <x:c r="V75" s="258"/>
      <x:c r="W75" s="258"/>
      <x:c r="X75" s="258"/>
      <x:c r="Y75" s="258"/>
      <x:c r="Z75" s="258"/>
    </x:row>
    <x:row r="76">
      <x:c r="A76" s="258"/>
      <x:c r="B76" s="258"/>
      <x:c r="C76" s="258"/>
      <x:c r="D76" s="258"/>
      <x:c r="E76" s="258"/>
      <x:c r="F76" s="258"/>
      <x:c r="G76" s="258"/>
      <x:c r="H76" s="258"/>
      <x:c r="I76" s="258"/>
      <x:c r="J76" s="258"/>
      <x:c r="K76" s="258"/>
      <x:c r="L76" s="258"/>
      <x:c r="M76" s="258"/>
      <x:c r="N76" s="258"/>
      <x:c r="O76" s="258"/>
      <x:c r="P76" s="258"/>
      <x:c r="Q76" s="258"/>
      <x:c r="R76" s="258"/>
      <x:c r="S76" s="258"/>
      <x:c r="T76" s="258"/>
      <x:c r="U76" s="258"/>
      <x:c r="V76" s="258"/>
      <x:c r="W76" s="258"/>
      <x:c r="X76" s="258"/>
      <x:c r="Y76" s="258"/>
      <x:c r="Z76" s="258"/>
    </x:row>
    <x:row r="77">
      <x:c r="A77" s="258"/>
      <x:c r="B77" s="258"/>
      <x:c r="C77" s="258"/>
      <x:c r="D77" s="258"/>
      <x:c r="E77" s="258"/>
      <x:c r="F77" s="258"/>
      <x:c r="G77" s="258"/>
      <x:c r="H77" s="258"/>
      <x:c r="I77" s="258"/>
      <x:c r="J77" s="258"/>
      <x:c r="K77" s="258"/>
      <x:c r="L77" s="258"/>
      <x:c r="M77" s="258"/>
      <x:c r="N77" s="258"/>
      <x:c r="O77" s="258"/>
      <x:c r="P77" s="258"/>
      <x:c r="Q77" s="258"/>
      <x:c r="R77" s="258"/>
      <x:c r="S77" s="258"/>
      <x:c r="T77" s="258"/>
      <x:c r="U77" s="258"/>
      <x:c r="V77" s="258"/>
      <x:c r="W77" s="258"/>
      <x:c r="X77" s="258"/>
      <x:c r="Y77" s="258"/>
      <x:c r="Z77" s="258"/>
    </x:row>
    <x:row r="78">
      <x:c r="A78" s="258"/>
      <x:c r="B78" s="258"/>
      <x:c r="C78" s="258"/>
      <x:c r="D78" s="258"/>
      <x:c r="E78" s="258"/>
      <x:c r="F78" s="258"/>
      <x:c r="G78" s="258"/>
      <x:c r="H78" s="258"/>
      <x:c r="I78" s="258"/>
      <x:c r="J78" s="258"/>
      <x:c r="K78" s="258"/>
      <x:c r="L78" s="258"/>
      <x:c r="M78" s="258"/>
      <x:c r="N78" s="258"/>
      <x:c r="O78" s="258"/>
      <x:c r="P78" s="258"/>
      <x:c r="Q78" s="258"/>
      <x:c r="R78" s="258"/>
      <x:c r="S78" s="258"/>
      <x:c r="T78" s="258"/>
      <x:c r="U78" s="258"/>
      <x:c r="V78" s="258"/>
      <x:c r="W78" s="258"/>
      <x:c r="X78" s="258"/>
      <x:c r="Y78" s="258"/>
      <x:c r="Z78" s="258"/>
    </x:row>
    <x:row r="79">
      <x:c r="A79" s="258"/>
      <x:c r="B79" s="258"/>
      <x:c r="C79" s="258"/>
      <x:c r="D79" s="258"/>
      <x:c r="E79" s="258"/>
      <x:c r="F79" s="258"/>
      <x:c r="G79" s="258"/>
      <x:c r="H79" s="258"/>
      <x:c r="I79" s="258"/>
      <x:c r="J79" s="258"/>
      <x:c r="K79" s="258"/>
      <x:c r="L79" s="258"/>
      <x:c r="M79" s="258"/>
      <x:c r="N79" s="258"/>
      <x:c r="O79" s="258"/>
      <x:c r="P79" s="258"/>
      <x:c r="Q79" s="258"/>
      <x:c r="R79" s="258"/>
      <x:c r="S79" s="258"/>
      <x:c r="T79" s="258"/>
      <x:c r="U79" s="258"/>
      <x:c r="V79" s="258"/>
      <x:c r="W79" s="258"/>
      <x:c r="X79" s="258"/>
      <x:c r="Y79" s="258"/>
      <x:c r="Z79" s="258"/>
    </x:row>
    <x:row r="80">
      <x:c r="A80" s="258"/>
      <x:c r="B80" s="258"/>
      <x:c r="C80" s="258"/>
      <x:c r="D80" s="258"/>
      <x:c r="E80" s="258"/>
      <x:c r="F80" s="258"/>
      <x:c r="G80" s="258"/>
      <x:c r="H80" s="258"/>
      <x:c r="I80" s="258"/>
      <x:c r="J80" s="258"/>
      <x:c r="K80" s="258"/>
      <x:c r="L80" s="258"/>
      <x:c r="M80" s="258"/>
      <x:c r="N80" s="258"/>
      <x:c r="O80" s="258"/>
      <x:c r="P80" s="258"/>
      <x:c r="Q80" s="258"/>
      <x:c r="R80" s="258"/>
      <x:c r="S80" s="258"/>
      <x:c r="T80" s="258"/>
      <x:c r="U80" s="258"/>
      <x:c r="V80" s="258"/>
      <x:c r="W80" s="258"/>
      <x:c r="X80" s="258"/>
      <x:c r="Y80" s="258"/>
      <x:c r="Z80" s="258"/>
    </x:row>
    <x:row r="81">
      <x:c r="A81" s="258"/>
      <x:c r="B81" s="258"/>
      <x:c r="C81" s="258"/>
      <x:c r="D81" s="258"/>
      <x:c r="E81" s="258"/>
      <x:c r="F81" s="258"/>
      <x:c r="G81" s="258"/>
      <x:c r="H81" s="258"/>
      <x:c r="I81" s="258"/>
      <x:c r="J81" s="258"/>
      <x:c r="K81" s="258"/>
      <x:c r="L81" s="258"/>
      <x:c r="M81" s="258"/>
      <x:c r="N81" s="258"/>
      <x:c r="O81" s="258"/>
      <x:c r="P81" s="258"/>
      <x:c r="Q81" s="258"/>
      <x:c r="R81" s="258"/>
      <x:c r="S81" s="258"/>
      <x:c r="T81" s="258"/>
      <x:c r="U81" s="258"/>
      <x:c r="V81" s="258"/>
      <x:c r="W81" s="258"/>
      <x:c r="X81" s="258"/>
      <x:c r="Y81" s="258"/>
      <x:c r="Z81" s="258"/>
    </x:row>
    <x:row r="82">
      <x:c r="A82" s="258"/>
      <x:c r="B82" s="258"/>
      <x:c r="C82" s="258"/>
      <x:c r="D82" s="258"/>
      <x:c r="E82" s="258"/>
      <x:c r="F82" s="258"/>
      <x:c r="G82" s="258"/>
      <x:c r="H82" s="258"/>
      <x:c r="I82" s="258"/>
      <x:c r="J82" s="258"/>
      <x:c r="K82" s="258"/>
      <x:c r="L82" s="258"/>
      <x:c r="M82" s="258"/>
      <x:c r="N82" s="258"/>
      <x:c r="O82" s="258"/>
      <x:c r="P82" s="258"/>
      <x:c r="Q82" s="258"/>
      <x:c r="R82" s="258"/>
      <x:c r="S82" s="258"/>
      <x:c r="T82" s="258"/>
      <x:c r="U82" s="258"/>
      <x:c r="V82" s="258"/>
      <x:c r="W82" s="258"/>
      <x:c r="X82" s="258"/>
      <x:c r="Y82" s="258"/>
      <x:c r="Z82" s="258"/>
    </x:row>
    <x:row r="83">
      <x:c r="A83" s="258"/>
      <x:c r="B83" s="258"/>
      <x:c r="C83" s="258"/>
      <x:c r="D83" s="258"/>
      <x:c r="E83" s="258"/>
      <x:c r="F83" s="258"/>
      <x:c r="G83" s="258"/>
      <x:c r="H83" s="258"/>
      <x:c r="I83" s="258"/>
      <x:c r="J83" s="258"/>
      <x:c r="K83" s="258"/>
      <x:c r="L83" s="258"/>
      <x:c r="M83" s="258"/>
      <x:c r="N83" s="258"/>
      <x:c r="O83" s="258"/>
      <x:c r="P83" s="258"/>
      <x:c r="Q83" s="258"/>
      <x:c r="R83" s="258"/>
      <x:c r="S83" s="258"/>
      <x:c r="T83" s="258"/>
      <x:c r="U83" s="258"/>
      <x:c r="V83" s="258"/>
      <x:c r="W83" s="258"/>
      <x:c r="X83" s="258"/>
      <x:c r="Y83" s="258"/>
      <x:c r="Z83" s="258"/>
    </x:row>
    <x:row r="84">
      <x:c r="A84" s="258"/>
      <x:c r="B84" s="258"/>
      <x:c r="C84" s="258"/>
      <x:c r="D84" s="258"/>
      <x:c r="E84" s="258"/>
      <x:c r="F84" s="258"/>
      <x:c r="G84" s="258"/>
      <x:c r="H84" s="258"/>
      <x:c r="I84" s="258"/>
      <x:c r="J84" s="258"/>
      <x:c r="K84" s="258"/>
      <x:c r="L84" s="258"/>
      <x:c r="M84" s="258"/>
      <x:c r="N84" s="258"/>
      <x:c r="O84" s="258"/>
      <x:c r="P84" s="258"/>
      <x:c r="Q84" s="258"/>
      <x:c r="R84" s="258"/>
      <x:c r="S84" s="258"/>
      <x:c r="T84" s="258"/>
      <x:c r="U84" s="258"/>
      <x:c r="V84" s="258"/>
      <x:c r="W84" s="258"/>
      <x:c r="X84" s="258"/>
      <x:c r="Y84" s="258"/>
      <x:c r="Z84" s="258"/>
    </x:row>
    <x:row r="85">
      <x:c r="A85" s="258"/>
      <x:c r="B85" s="258"/>
      <x:c r="C85" s="258"/>
      <x:c r="D85" s="258"/>
      <x:c r="E85" s="258"/>
      <x:c r="F85" s="258"/>
      <x:c r="G85" s="258"/>
      <x:c r="H85" s="258"/>
      <x:c r="I85" s="258"/>
      <x:c r="J85" s="258"/>
      <x:c r="K85" s="258"/>
      <x:c r="L85" s="258"/>
      <x:c r="M85" s="258"/>
      <x:c r="N85" s="258"/>
      <x:c r="O85" s="258"/>
      <x:c r="P85" s="258"/>
      <x:c r="Q85" s="258"/>
      <x:c r="R85" s="258"/>
      <x:c r="S85" s="258"/>
      <x:c r="T85" s="258"/>
      <x:c r="U85" s="258"/>
      <x:c r="V85" s="258"/>
      <x:c r="W85" s="258"/>
      <x:c r="X85" s="258"/>
      <x:c r="Y85" s="258"/>
      <x:c r="Z85" s="258"/>
    </x:row>
    <x:row r="86">
      <x:c r="A86" s="258"/>
      <x:c r="B86" s="258"/>
      <x:c r="C86" s="258"/>
      <x:c r="D86" s="258"/>
      <x:c r="E86" s="258"/>
      <x:c r="F86" s="258"/>
      <x:c r="G86" s="258"/>
      <x:c r="H86" s="258"/>
      <x:c r="I86" s="258"/>
      <x:c r="J86" s="258"/>
      <x:c r="K86" s="258"/>
      <x:c r="L86" s="258"/>
      <x:c r="M86" s="258"/>
      <x:c r="N86" s="258"/>
      <x:c r="O86" s="258"/>
      <x:c r="P86" s="258"/>
      <x:c r="Q86" s="258"/>
      <x:c r="R86" s="258"/>
      <x:c r="S86" s="258"/>
      <x:c r="T86" s="258"/>
      <x:c r="U86" s="258"/>
      <x:c r="V86" s="258"/>
      <x:c r="W86" s="258"/>
      <x:c r="X86" s="258"/>
      <x:c r="Y86" s="258"/>
      <x:c r="Z86" s="258"/>
    </x:row>
    <x:row r="87">
      <x:c r="A87" s="258"/>
      <x:c r="B87" s="258"/>
      <x:c r="C87" s="258"/>
      <x:c r="D87" s="258"/>
      <x:c r="E87" s="258"/>
      <x:c r="F87" s="258"/>
      <x:c r="G87" s="258"/>
      <x:c r="H87" s="258"/>
      <x:c r="I87" s="258"/>
      <x:c r="J87" s="258"/>
      <x:c r="K87" s="258"/>
      <x:c r="L87" s="258"/>
      <x:c r="M87" s="258"/>
      <x:c r="N87" s="258"/>
      <x:c r="O87" s="258"/>
      <x:c r="P87" s="258"/>
      <x:c r="Q87" s="258"/>
      <x:c r="R87" s="258"/>
      <x:c r="S87" s="258"/>
      <x:c r="T87" s="258"/>
      <x:c r="U87" s="258"/>
      <x:c r="V87" s="258"/>
      <x:c r="W87" s="258"/>
      <x:c r="X87" s="258"/>
      <x:c r="Y87" s="258"/>
      <x:c r="Z87" s="258"/>
    </x:row>
    <x:row r="88">
      <x:c r="A88" s="258"/>
      <x:c r="B88" s="258"/>
      <x:c r="C88" s="258"/>
      <x:c r="D88" s="258"/>
      <x:c r="E88" s="258"/>
      <x:c r="F88" s="258"/>
      <x:c r="G88" s="258"/>
      <x:c r="H88" s="258"/>
      <x:c r="I88" s="258"/>
      <x:c r="J88" s="258"/>
      <x:c r="K88" s="258"/>
      <x:c r="L88" s="258"/>
      <x:c r="M88" s="258"/>
      <x:c r="N88" s="258"/>
      <x:c r="O88" s="258"/>
      <x:c r="P88" s="258"/>
      <x:c r="Q88" s="258"/>
      <x:c r="R88" s="258"/>
      <x:c r="S88" s="258"/>
      <x:c r="T88" s="258"/>
      <x:c r="U88" s="258"/>
      <x:c r="V88" s="258"/>
      <x:c r="W88" s="258"/>
      <x:c r="X88" s="258"/>
      <x:c r="Y88" s="258"/>
      <x:c r="Z88" s="258"/>
    </x:row>
    <x:row r="89">
      <x:c r="A89" s="258"/>
      <x:c r="B89" s="258"/>
      <x:c r="C89" s="258"/>
      <x:c r="D89" s="258"/>
      <x:c r="E89" s="258"/>
      <x:c r="F89" s="258"/>
      <x:c r="G89" s="258"/>
      <x:c r="H89" s="258"/>
      <x:c r="I89" s="258"/>
      <x:c r="J89" s="258"/>
      <x:c r="K89" s="258"/>
      <x:c r="L89" s="258"/>
      <x:c r="M89" s="258"/>
      <x:c r="N89" s="258"/>
      <x:c r="O89" s="258"/>
      <x:c r="P89" s="258"/>
      <x:c r="Q89" s="258"/>
      <x:c r="R89" s="258"/>
      <x:c r="S89" s="258"/>
      <x:c r="T89" s="258"/>
      <x:c r="U89" s="258"/>
      <x:c r="V89" s="258"/>
      <x:c r="W89" s="258"/>
      <x:c r="X89" s="258"/>
      <x:c r="Y89" s="258"/>
      <x:c r="Z89" s="258"/>
    </x:row>
    <x:row r="90">
      <x:c r="A90" s="258"/>
      <x:c r="B90" s="258"/>
      <x:c r="C90" s="258"/>
      <x:c r="D90" s="258"/>
      <x:c r="E90" s="258"/>
      <x:c r="F90" s="258"/>
      <x:c r="G90" s="258"/>
      <x:c r="H90" s="258"/>
      <x:c r="I90" s="258"/>
      <x:c r="J90" s="258"/>
      <x:c r="K90" s="258"/>
      <x:c r="L90" s="258"/>
      <x:c r="M90" s="258"/>
      <x:c r="N90" s="258"/>
      <x:c r="O90" s="258"/>
      <x:c r="P90" s="258"/>
      <x:c r="Q90" s="258"/>
      <x:c r="R90" s="258"/>
      <x:c r="S90" s="258"/>
      <x:c r="T90" s="258"/>
      <x:c r="U90" s="258"/>
      <x:c r="V90" s="258"/>
      <x:c r="W90" s="258"/>
      <x:c r="X90" s="258"/>
      <x:c r="Y90" s="258"/>
      <x:c r="Z90" s="258"/>
    </x:row>
    <x:row r="91">
      <x:c r="A91" s="258"/>
      <x:c r="B91" s="258"/>
      <x:c r="C91" s="258"/>
      <x:c r="D91" s="258"/>
      <x:c r="E91" s="258"/>
      <x:c r="F91" s="258"/>
      <x:c r="G91" s="258"/>
      <x:c r="H91" s="258"/>
      <x:c r="I91" s="258"/>
      <x:c r="J91" s="258"/>
      <x:c r="K91" s="258"/>
      <x:c r="L91" s="258"/>
      <x:c r="M91" s="258"/>
      <x:c r="N91" s="258"/>
      <x:c r="O91" s="258"/>
      <x:c r="P91" s="258"/>
      <x:c r="Q91" s="258"/>
      <x:c r="R91" s="258"/>
      <x:c r="S91" s="258"/>
      <x:c r="T91" s="258"/>
      <x:c r="U91" s="258"/>
      <x:c r="V91" s="258"/>
      <x:c r="W91" s="258"/>
      <x:c r="X91" s="258"/>
      <x:c r="Y91" s="258"/>
      <x:c r="Z91" s="258"/>
    </x:row>
    <x:row r="92">
      <x:c r="A92" s="258"/>
      <x:c r="B92" s="258"/>
      <x:c r="C92" s="258"/>
      <x:c r="D92" s="258"/>
      <x:c r="E92" s="258"/>
      <x:c r="F92" s="258"/>
      <x:c r="G92" s="258"/>
      <x:c r="H92" s="258"/>
      <x:c r="I92" s="258"/>
      <x:c r="J92" s="258"/>
      <x:c r="K92" s="258"/>
      <x:c r="L92" s="258"/>
      <x:c r="M92" s="258"/>
      <x:c r="N92" s="258"/>
      <x:c r="O92" s="258"/>
      <x:c r="P92" s="258"/>
      <x:c r="Q92" s="258"/>
      <x:c r="R92" s="258"/>
      <x:c r="S92" s="258"/>
      <x:c r="T92" s="258"/>
      <x:c r="U92" s="258"/>
      <x:c r="V92" s="258"/>
      <x:c r="W92" s="258"/>
      <x:c r="X92" s="258"/>
      <x:c r="Y92" s="258"/>
      <x:c r="Z92" s="258"/>
    </x:row>
    <x:row r="93">
      <x:c r="A93" s="258"/>
      <x:c r="B93" s="258"/>
      <x:c r="C93" s="258"/>
      <x:c r="D93" s="258"/>
      <x:c r="E93" s="258"/>
      <x:c r="F93" s="258"/>
      <x:c r="G93" s="258"/>
      <x:c r="H93" s="258"/>
      <x:c r="I93" s="258"/>
      <x:c r="J93" s="258"/>
      <x:c r="K93" s="258"/>
      <x:c r="L93" s="258"/>
      <x:c r="M93" s="258"/>
      <x:c r="N93" s="258"/>
      <x:c r="O93" s="258"/>
      <x:c r="P93" s="258"/>
      <x:c r="Q93" s="258"/>
      <x:c r="R93" s="258"/>
      <x:c r="S93" s="258"/>
      <x:c r="T93" s="258"/>
      <x:c r="U93" s="258"/>
      <x:c r="V93" s="258"/>
      <x:c r="W93" s="258"/>
      <x:c r="X93" s="258"/>
      <x:c r="Y93" s="258"/>
      <x:c r="Z93" s="258"/>
    </x:row>
    <x:row r="94">
      <x:c r="A94" s="258"/>
      <x:c r="B94" s="258"/>
      <x:c r="C94" s="258"/>
      <x:c r="D94" s="258"/>
      <x:c r="E94" s="258"/>
      <x:c r="F94" s="258"/>
      <x:c r="G94" s="258"/>
      <x:c r="H94" s="258"/>
      <x:c r="I94" s="258"/>
      <x:c r="J94" s="258"/>
      <x:c r="K94" s="258"/>
      <x:c r="L94" s="258"/>
      <x:c r="M94" s="258"/>
      <x:c r="N94" s="258"/>
      <x:c r="O94" s="258"/>
      <x:c r="P94" s="258"/>
      <x:c r="Q94" s="258"/>
      <x:c r="R94" s="258"/>
      <x:c r="S94" s="258"/>
      <x:c r="T94" s="258"/>
      <x:c r="U94" s="258"/>
      <x:c r="V94" s="258"/>
      <x:c r="W94" s="258"/>
      <x:c r="X94" s="258"/>
      <x:c r="Y94" s="258"/>
      <x:c r="Z94" s="258"/>
    </x:row>
    <x:row r="95">
      <x:c r="A95" s="258"/>
      <x:c r="B95" s="258"/>
      <x:c r="C95" s="258"/>
      <x:c r="D95" s="258"/>
      <x:c r="E95" s="258"/>
      <x:c r="F95" s="258"/>
      <x:c r="G95" s="258"/>
      <x:c r="H95" s="258"/>
      <x:c r="I95" s="258"/>
      <x:c r="J95" s="258"/>
      <x:c r="K95" s="258"/>
      <x:c r="L95" s="258"/>
      <x:c r="M95" s="258"/>
      <x:c r="N95" s="258"/>
      <x:c r="O95" s="258"/>
      <x:c r="P95" s="258"/>
      <x:c r="Q95" s="258"/>
      <x:c r="R95" s="258"/>
      <x:c r="S95" s="258"/>
      <x:c r="T95" s="258"/>
      <x:c r="U95" s="258"/>
      <x:c r="V95" s="258"/>
      <x:c r="W95" s="258"/>
      <x:c r="X95" s="258"/>
      <x:c r="Y95" s="258"/>
      <x:c r="Z95" s="258"/>
    </x:row>
    <x:row r="96">
      <x:c r="A96" s="258"/>
      <x:c r="B96" s="258"/>
      <x:c r="C96" s="258"/>
      <x:c r="D96" s="258"/>
      <x:c r="E96" s="258"/>
      <x:c r="F96" s="258"/>
      <x:c r="G96" s="258"/>
      <x:c r="H96" s="258"/>
      <x:c r="I96" s="258"/>
      <x:c r="J96" s="258"/>
      <x:c r="K96" s="258"/>
      <x:c r="L96" s="258"/>
      <x:c r="M96" s="258"/>
      <x:c r="N96" s="258"/>
      <x:c r="O96" s="258"/>
      <x:c r="P96" s="258"/>
      <x:c r="Q96" s="258"/>
      <x:c r="R96" s="258"/>
      <x:c r="S96" s="258"/>
      <x:c r="T96" s="258"/>
      <x:c r="U96" s="258"/>
      <x:c r="V96" s="258"/>
      <x:c r="W96" s="258"/>
      <x:c r="X96" s="258"/>
      <x:c r="Y96" s="258"/>
      <x:c r="Z96" s="258"/>
    </x:row>
    <x:row r="97">
      <x:c r="A97" s="258"/>
      <x:c r="B97" s="258"/>
      <x:c r="C97" s="258"/>
      <x:c r="D97" s="258"/>
      <x:c r="E97" s="258"/>
      <x:c r="F97" s="258"/>
      <x:c r="G97" s="258"/>
      <x:c r="H97" s="258"/>
      <x:c r="I97" s="258"/>
      <x:c r="J97" s="258"/>
      <x:c r="K97" s="258"/>
      <x:c r="L97" s="258"/>
      <x:c r="M97" s="258"/>
      <x:c r="N97" s="258"/>
      <x:c r="O97" s="258"/>
      <x:c r="P97" s="258"/>
      <x:c r="Q97" s="258"/>
      <x:c r="R97" s="258"/>
      <x:c r="S97" s="258"/>
      <x:c r="T97" s="258"/>
      <x:c r="U97" s="258"/>
      <x:c r="V97" s="258"/>
      <x:c r="W97" s="258"/>
      <x:c r="X97" s="258"/>
      <x:c r="Y97" s="258"/>
      <x:c r="Z97" s="258"/>
    </x:row>
    <x:row r="98">
      <x:c r="A98" s="258"/>
      <x:c r="B98" s="258"/>
      <x:c r="C98" s="258"/>
      <x:c r="D98" s="258"/>
      <x:c r="E98" s="258"/>
      <x:c r="F98" s="258"/>
      <x:c r="G98" s="258"/>
      <x:c r="H98" s="258"/>
      <x:c r="I98" s="258"/>
      <x:c r="J98" s="258"/>
      <x:c r="K98" s="258"/>
      <x:c r="L98" s="258"/>
      <x:c r="M98" s="258"/>
      <x:c r="N98" s="258"/>
      <x:c r="O98" s="258"/>
      <x:c r="P98" s="258"/>
      <x:c r="Q98" s="258"/>
      <x:c r="R98" s="258"/>
      <x:c r="S98" s="258"/>
      <x:c r="T98" s="258"/>
      <x:c r="U98" s="258"/>
      <x:c r="V98" s="258"/>
      <x:c r="W98" s="258"/>
      <x:c r="X98" s="258"/>
      <x:c r="Y98" s="258"/>
      <x:c r="Z98" s="258"/>
    </x:row>
    <x:row r="99">
      <x:c r="A99" s="258"/>
      <x:c r="B99" s="258"/>
      <x:c r="C99" s="258"/>
      <x:c r="D99" s="258"/>
      <x:c r="E99" s="258"/>
      <x:c r="F99" s="258"/>
      <x:c r="G99" s="258"/>
      <x:c r="H99" s="258"/>
      <x:c r="I99" s="258"/>
      <x:c r="J99" s="258"/>
      <x:c r="K99" s="258"/>
      <x:c r="L99" s="258"/>
      <x:c r="M99" s="258"/>
      <x:c r="N99" s="258"/>
      <x:c r="O99" s="258"/>
      <x:c r="P99" s="258"/>
      <x:c r="Q99" s="258"/>
      <x:c r="R99" s="258"/>
      <x:c r="S99" s="258"/>
      <x:c r="T99" s="258"/>
      <x:c r="U99" s="258"/>
      <x:c r="V99" s="258"/>
      <x:c r="W99" s="258"/>
      <x:c r="X99" s="258"/>
      <x:c r="Y99" s="258"/>
      <x:c r="Z99" s="258"/>
    </x:row>
    <x:row r="100">
      <x:c r="A100" s="258"/>
      <x:c r="B100" s="258"/>
      <x:c r="C100" s="258"/>
      <x:c r="D100" s="258"/>
      <x:c r="E100" s="258"/>
      <x:c r="F100" s="258"/>
      <x:c r="G100" s="258"/>
      <x:c r="H100" s="258"/>
      <x:c r="I100" s="258"/>
      <x:c r="J100" s="258"/>
      <x:c r="K100" s="258"/>
      <x:c r="L100" s="258"/>
      <x:c r="M100" s="258"/>
      <x:c r="N100" s="258"/>
      <x:c r="O100" s="258"/>
      <x:c r="P100" s="258"/>
      <x:c r="Q100" s="258"/>
      <x:c r="R100" s="258"/>
      <x:c r="S100" s="258"/>
      <x:c r="T100" s="258"/>
      <x:c r="U100" s="258"/>
      <x:c r="V100" s="258"/>
      <x:c r="W100" s="258"/>
      <x:c r="X100" s="258"/>
      <x:c r="Y100" s="258"/>
      <x:c r="Z100" s="258"/>
    </x:row>
  </x:sheetData>
  <x:mergeCells>
    <x:mergeCell ref="A1:E1"/>
    <x:mergeCell ref="A12:E14"/>
  </x:mergeCells>
  <x:pageMargins left="0.7" right="0.7" top="0.75" bottom="0.75" header="0.3" footer="0.3"/>
</x:worksheet>
</file>